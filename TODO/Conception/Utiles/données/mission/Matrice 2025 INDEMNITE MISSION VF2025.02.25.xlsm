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A7EEC661-702C-4D33-AC01-46B12CECB08E}" xr6:coauthVersionLast="47" xr6:coauthVersionMax="47" xr10:uidLastSave="{00000000-0000-0000-0000-000000000000}"/>
  <bookViews>
    <workbookView xWindow="-108" yWindow="-108" windowWidth="23256" windowHeight="12456" tabRatio="500" firstSheet="1" activeTab="1" xr2:uid="{00000000-000D-0000-FFFF-FFFF00000000}"/>
  </bookViews>
  <sheets>
    <sheet name="BD" sheetId="2" state="veryHidden" r:id="rId1"/>
    <sheet name="FORMULAIRE" sheetId="4" r:id="rId2"/>
    <sheet name="GRILLE MISSION" sheetId="5" state="hidden" r:id="rId3"/>
    <sheet name="BDD-IM" sheetId="6" state="veryHidden" r:id="rId4"/>
  </sheets>
  <functionGroups builtInGroupCount="19"/>
  <definedNames>
    <definedName name="liste">OFFSET(BD!$B$2,,,COUNTA(BD!$B:$B)-1)</definedName>
    <definedName name="_xlnm.Print_Area" localSheetId="1">FORMULAIRE!$A$1:$L$74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2" i="4" l="1"/>
  <c r="K51" i="4"/>
  <c r="K50" i="4"/>
  <c r="K49" i="4"/>
  <c r="K48" i="4"/>
  <c r="K57" i="4"/>
  <c r="K56" i="4"/>
  <c r="K55" i="4"/>
  <c r="K54" i="4"/>
  <c r="K39" i="4" l="1"/>
  <c r="K38" i="4"/>
  <c r="K37" i="4"/>
  <c r="K36" i="4"/>
  <c r="K35" i="4"/>
  <c r="K45" i="4"/>
  <c r="K44" i="4"/>
  <c r="K43" i="4"/>
  <c r="K42" i="4"/>
  <c r="K28" i="4"/>
  <c r="K29" i="4"/>
  <c r="K30" i="4"/>
  <c r="K31" i="4"/>
  <c r="K32" i="4"/>
  <c r="K33" i="4"/>
  <c r="K34" i="4"/>
  <c r="K40" i="4"/>
  <c r="K41" i="4"/>
  <c r="K46" i="4"/>
  <c r="K47" i="4"/>
  <c r="K53" i="4"/>
  <c r="K27" i="4"/>
  <c r="K58" i="4" l="1"/>
  <c r="N7" i="4" l="1"/>
  <c r="N6" i="4"/>
  <c r="N5" i="4"/>
  <c r="N4" i="4"/>
  <c r="N3" i="4"/>
  <c r="N2" i="4"/>
  <c r="N1" i="4" l="1"/>
</calcChain>
</file>

<file path=xl/sharedStrings.xml><?xml version="1.0" encoding="utf-8"?>
<sst xmlns="http://schemas.openxmlformats.org/spreadsheetml/2006/main" count="3963" uniqueCount="1234">
  <si>
    <t/>
  </si>
  <si>
    <t>=SIERREUR(LIGNE(INDEX(BD!$E$2:$E$1002;EQUIV($C$8;BD!$E$9:$E$1000;0)));0)</t>
  </si>
  <si>
    <t>ETAT DE PAIEMENT DES INDEMNITES DE MISSION</t>
  </si>
  <si>
    <t>Bénéficiaire :</t>
  </si>
  <si>
    <t>RASOLOFONDRAMANAMBE Herinomenjanaharilala Sedera</t>
  </si>
  <si>
    <t>Matriucle :</t>
  </si>
  <si>
    <t>Fonction :</t>
  </si>
  <si>
    <t>Base à :</t>
  </si>
  <si>
    <t>Direction :</t>
  </si>
  <si>
    <t>Département/ Service</t>
  </si>
  <si>
    <t>Centre de coût :</t>
  </si>
  <si>
    <t>qui se rendra à :</t>
  </si>
  <si>
    <t>Date de départ :</t>
  </si>
  <si>
    <t>Heure de départ :</t>
  </si>
  <si>
    <t>Durée prévue de la mission :</t>
  </si>
  <si>
    <t>Date de retour :</t>
  </si>
  <si>
    <t>REGULARISATION DES INDEMNITES DE MISSION</t>
  </si>
  <si>
    <t>Date</t>
  </si>
  <si>
    <t>Transport</t>
  </si>
  <si>
    <t>Petit Déjeuner</t>
  </si>
  <si>
    <t>Déjeuner</t>
  </si>
  <si>
    <t>Diner</t>
  </si>
  <si>
    <t>MONTANT</t>
  </si>
  <si>
    <t>MATRICULE</t>
  </si>
  <si>
    <t>NOM PRENOMS</t>
  </si>
  <si>
    <t>MATRICULE2</t>
  </si>
  <si>
    <t>NOM</t>
  </si>
  <si>
    <t>PRENOMS</t>
  </si>
  <si>
    <t>NOM PRENOMS2</t>
  </si>
  <si>
    <t>DATE D'EMBAUCHE</t>
  </si>
  <si>
    <t>DATE FIN CONTRAT</t>
  </si>
  <si>
    <t>FONCTION</t>
  </si>
  <si>
    <t>SERVICE</t>
  </si>
  <si>
    <t>DIRECTION</t>
  </si>
  <si>
    <t>TYPE D'HEURE</t>
  </si>
  <si>
    <t>GENRE</t>
  </si>
  <si>
    <t>TYPE CONTRAT</t>
  </si>
  <si>
    <t>SITE</t>
  </si>
  <si>
    <t>STATUT</t>
  </si>
  <si>
    <t>CAT</t>
  </si>
  <si>
    <t>ECH</t>
  </si>
  <si>
    <t>0004</t>
  </si>
  <si>
    <t>RAFIDIARISOA Bodomalala</t>
  </si>
  <si>
    <t>RAFIDIARISOA</t>
  </si>
  <si>
    <t>Bodomalala</t>
  </si>
  <si>
    <t>Juriste Junior</t>
  </si>
  <si>
    <t>JURIDIQUE</t>
  </si>
  <si>
    <t>JUR</t>
  </si>
  <si>
    <t>SUPPORT</t>
  </si>
  <si>
    <t>Féminin</t>
  </si>
  <si>
    <t>CDI</t>
  </si>
  <si>
    <t>TNR</t>
  </si>
  <si>
    <t>C</t>
  </si>
  <si>
    <t>C9</t>
  </si>
  <si>
    <t>0005</t>
  </si>
  <si>
    <t>ANDRIAMPARANY Fenitra Nomena</t>
  </si>
  <si>
    <t>ANDRIAMPARANY</t>
  </si>
  <si>
    <t>Fenitra Nomena</t>
  </si>
  <si>
    <t>Responsable QDS et Environnement, Méthodologie et Process</t>
  </si>
  <si>
    <t>QHSSSE</t>
  </si>
  <si>
    <t>DQHSSSEMR</t>
  </si>
  <si>
    <t>C10</t>
  </si>
  <si>
    <t>0006</t>
  </si>
  <si>
    <t>RAKOTOZAFY Mamy Lala</t>
  </si>
  <si>
    <t>RAKOTOZAFY</t>
  </si>
  <si>
    <t>Mamy Lala</t>
  </si>
  <si>
    <t>Assistante de Direction</t>
  </si>
  <si>
    <t>DAF</t>
  </si>
  <si>
    <t>NC</t>
  </si>
  <si>
    <t>C7</t>
  </si>
  <si>
    <t>0008</t>
  </si>
  <si>
    <t>RAZAFINDRABE Tianarivelo Onjaniaina</t>
  </si>
  <si>
    <t>RAZAFINDRABE</t>
  </si>
  <si>
    <t>Tianarivelo Onjaniaina</t>
  </si>
  <si>
    <t>Chef de Service Rémunération et Avantages Sociaux</t>
  </si>
  <si>
    <t>REMUNERATION</t>
  </si>
  <si>
    <t>DRH</t>
  </si>
  <si>
    <t>Masculin</t>
  </si>
  <si>
    <t>C11</t>
  </si>
  <si>
    <t>0009</t>
  </si>
  <si>
    <t>RAVOLAHARIMANGA Harivony Fleura</t>
  </si>
  <si>
    <t>RAVOLAHARIMANGA</t>
  </si>
  <si>
    <t>Harivony Fleura</t>
  </si>
  <si>
    <t>Acheteuse</t>
  </si>
  <si>
    <t>ACHATS</t>
  </si>
  <si>
    <t>0010</t>
  </si>
  <si>
    <t>RAZANAKOLONA Nadya Mamitiana</t>
  </si>
  <si>
    <t>RAZANAKOLONA</t>
  </si>
  <si>
    <t>Nadya Mamitiana</t>
  </si>
  <si>
    <t>DT</t>
  </si>
  <si>
    <t>0011</t>
  </si>
  <si>
    <t>RALAIARIMANANA Haingotiana</t>
  </si>
  <si>
    <t>RALAIARIMANANA</t>
  </si>
  <si>
    <t>Haingotiana</t>
  </si>
  <si>
    <t>Assistante OPS</t>
  </si>
  <si>
    <t>DOP</t>
  </si>
  <si>
    <t>0012</t>
  </si>
  <si>
    <t>RAMANOELINA Naly Nantenaina</t>
  </si>
  <si>
    <t>RAMANOELINA</t>
  </si>
  <si>
    <t>Naly Nantenaina</t>
  </si>
  <si>
    <t>Chef de Service Electricité et Mécanique</t>
  </si>
  <si>
    <t>ELECTRICITE ET MECANIQUE</t>
  </si>
  <si>
    <t>0016</t>
  </si>
  <si>
    <t>RAHARIMANANTSOA Cathia Vololomanana</t>
  </si>
  <si>
    <t>RAHARIMANANTSOA</t>
  </si>
  <si>
    <t>Cathia Vololomanana</t>
  </si>
  <si>
    <t>Comptable Fournisseurs</t>
  </si>
  <si>
    <t>FINANCES ET COMPTABILITE</t>
  </si>
  <si>
    <t>C8</t>
  </si>
  <si>
    <t>0018</t>
  </si>
  <si>
    <t>RABIAZAMAHOLY Fanja Lalaina</t>
  </si>
  <si>
    <t>RABIAZAMAHOLY</t>
  </si>
  <si>
    <t>Fanja Lalaina</t>
  </si>
  <si>
    <t>Coordinatrice Terminal AOCC</t>
  </si>
  <si>
    <t>SCAI</t>
  </si>
  <si>
    <t>DECALE</t>
  </si>
  <si>
    <t>0023</t>
  </si>
  <si>
    <t>RAZAFIMALALA Marie Jeanne J.</t>
  </si>
  <si>
    <t>RAZAFIMALALA</t>
  </si>
  <si>
    <t>Marie Jeanne J.</t>
  </si>
  <si>
    <t>Technicienne de Surface</t>
  </si>
  <si>
    <t>C2</t>
  </si>
  <si>
    <t>0024</t>
  </si>
  <si>
    <t>BAKOMALALA Hanitriniaina R.</t>
  </si>
  <si>
    <t>BAKOMALALA</t>
  </si>
  <si>
    <t>Hanitriniaina R.</t>
  </si>
  <si>
    <t>Agent Saisie facturation</t>
  </si>
  <si>
    <t>FACTURATION ET STATISTIQUES</t>
  </si>
  <si>
    <t>C5</t>
  </si>
  <si>
    <t>0025</t>
  </si>
  <si>
    <t>RANDRIAMANDIMBY Dordine</t>
  </si>
  <si>
    <t>RANDRIAMANDIMBY</t>
  </si>
  <si>
    <t>Dordine</t>
  </si>
  <si>
    <t>Chauffeur de Tracteur</t>
  </si>
  <si>
    <t>C3</t>
  </si>
  <si>
    <t>0026</t>
  </si>
  <si>
    <t>RAOELISON Jérôme</t>
  </si>
  <si>
    <t>RAOELISON</t>
  </si>
  <si>
    <t>Jérôme</t>
  </si>
  <si>
    <t>Chef de Section Service</t>
  </si>
  <si>
    <t>C6</t>
  </si>
  <si>
    <t>0033</t>
  </si>
  <si>
    <t>VOLAMARY Odette</t>
  </si>
  <si>
    <t>VOLAMARY</t>
  </si>
  <si>
    <t>Odette</t>
  </si>
  <si>
    <t>Agent Polyvalent</t>
  </si>
  <si>
    <t>SCAN</t>
  </si>
  <si>
    <t>NOS</t>
  </si>
  <si>
    <t>C4</t>
  </si>
  <si>
    <t>0034</t>
  </si>
  <si>
    <t>RANDRIAMBOAVONJY Jean Richard</t>
  </si>
  <si>
    <t>RANDRIAMBOAVONJY</t>
  </si>
  <si>
    <t>Jean Richard</t>
  </si>
  <si>
    <t>Agent d'entretien</t>
  </si>
  <si>
    <t>C1</t>
  </si>
  <si>
    <t>0036</t>
  </si>
  <si>
    <t>RAZALINE</t>
  </si>
  <si>
    <t>Responsable d'Exploitation de Permanence</t>
  </si>
  <si>
    <t>0037</t>
  </si>
  <si>
    <t>RAZANAMANDIMBISOA Andriananja</t>
  </si>
  <si>
    <t>RAZANAMANDIMBISOA</t>
  </si>
  <si>
    <t>Andriananja</t>
  </si>
  <si>
    <t>Caissier</t>
  </si>
  <si>
    <t>0039</t>
  </si>
  <si>
    <t>ANDRIATIANA Abel</t>
  </si>
  <si>
    <t>ANDRIATIANA</t>
  </si>
  <si>
    <t>Abel</t>
  </si>
  <si>
    <t>Superviseur Maintenance AOCC</t>
  </si>
  <si>
    <t>0041</t>
  </si>
  <si>
    <t>RAKOTONDRABE Désiré</t>
  </si>
  <si>
    <t>RAKOTONDRABE</t>
  </si>
  <si>
    <t>Désiré</t>
  </si>
  <si>
    <t>Jardinier</t>
  </si>
  <si>
    <t>0043</t>
  </si>
  <si>
    <t>RAKOTONDRATIANA René</t>
  </si>
  <si>
    <t>RAKOTONDRATIANA</t>
  </si>
  <si>
    <t>René</t>
  </si>
  <si>
    <t>0044</t>
  </si>
  <si>
    <t>RAHARIJAONA Hans</t>
  </si>
  <si>
    <t>RAHARIJAONA</t>
  </si>
  <si>
    <t>Hans</t>
  </si>
  <si>
    <t>Cureur</t>
  </si>
  <si>
    <t>BATIMENT ET GENIE CIVIL</t>
  </si>
  <si>
    <t>0046</t>
  </si>
  <si>
    <t>RAKOTOVELO Charles</t>
  </si>
  <si>
    <t>RAKOTOVELO</t>
  </si>
  <si>
    <t>Charles</t>
  </si>
  <si>
    <t>0049</t>
  </si>
  <si>
    <t>RAKOTOMANANA Pierre</t>
  </si>
  <si>
    <t>RAKOTOMANANA</t>
  </si>
  <si>
    <t>Pierre</t>
  </si>
  <si>
    <t>Agent de piste</t>
  </si>
  <si>
    <t>0050</t>
  </si>
  <si>
    <t>RAZANADRAKOTO Jean Marie</t>
  </si>
  <si>
    <t>RAZANADRAKOTO</t>
  </si>
  <si>
    <t>Jean Marie</t>
  </si>
  <si>
    <t>Contrôleur fret</t>
  </si>
  <si>
    <t>FRET</t>
  </si>
  <si>
    <t>DCM</t>
  </si>
  <si>
    <t>0051</t>
  </si>
  <si>
    <t>ALLIVENJA Hobilalao Barison</t>
  </si>
  <si>
    <t>ALLIVENJA</t>
  </si>
  <si>
    <t>Hobilalao Barison</t>
  </si>
  <si>
    <t>0052</t>
  </si>
  <si>
    <t>RABARIJAONA Mamitiana</t>
  </si>
  <si>
    <t>RABARIJAONA</t>
  </si>
  <si>
    <t>Mamitiana</t>
  </si>
  <si>
    <t>0053</t>
  </si>
  <si>
    <t>RAVELOSOA Hanitranjara Rachel</t>
  </si>
  <si>
    <t>RAVELOSOA</t>
  </si>
  <si>
    <t>Hanitranjara Rachel</t>
  </si>
  <si>
    <t>0054</t>
  </si>
  <si>
    <t>RAKOTOARISOA Earilala F. Harizo</t>
  </si>
  <si>
    <t>RAKOTOARISOA</t>
  </si>
  <si>
    <t>Earilala F. Harizo</t>
  </si>
  <si>
    <t>0057</t>
  </si>
  <si>
    <t>ANDRIANJANAHARY Honoré Jules</t>
  </si>
  <si>
    <t>ANDRIANJANAHARY</t>
  </si>
  <si>
    <t>Honoré Jules</t>
  </si>
  <si>
    <t>0058</t>
  </si>
  <si>
    <t>BENARSON</t>
  </si>
  <si>
    <t>0059</t>
  </si>
  <si>
    <t>BIRA Christophe</t>
  </si>
  <si>
    <t>BIRA</t>
  </si>
  <si>
    <t>Christophe</t>
  </si>
  <si>
    <t>0060</t>
  </si>
  <si>
    <t>VELONKASINA Christophe</t>
  </si>
  <si>
    <t>VELONKASINA</t>
  </si>
  <si>
    <t>Contrôleur de Fonctionnement des Installations</t>
  </si>
  <si>
    <t>0062</t>
  </si>
  <si>
    <t>RAKOTONDRANAIVO Sylvain Jean Baptiste</t>
  </si>
  <si>
    <t>RAKOTONDRANAIVO</t>
  </si>
  <si>
    <t>Sylvain Jean Baptiste</t>
  </si>
  <si>
    <t>0063</t>
  </si>
  <si>
    <t>ANDRIANATONISOLO Ericka Marius</t>
  </si>
  <si>
    <t>ANDRIANATONISOLO</t>
  </si>
  <si>
    <t>Ericka Marius</t>
  </si>
  <si>
    <t>0064</t>
  </si>
  <si>
    <t>RAHARINAIVO Alain</t>
  </si>
  <si>
    <t>RAHARINAIVO</t>
  </si>
  <si>
    <t>Alain</t>
  </si>
  <si>
    <t>0065</t>
  </si>
  <si>
    <t>RANDRIAMAMORY Henri</t>
  </si>
  <si>
    <t>RANDRIAMAMORY</t>
  </si>
  <si>
    <t>Henri</t>
  </si>
  <si>
    <t>Assistant Achat</t>
  </si>
  <si>
    <t>0067</t>
  </si>
  <si>
    <t>RAKOTOMAHEFA Sylvain Mamy Tina</t>
  </si>
  <si>
    <t>RAKOTOMAHEFA</t>
  </si>
  <si>
    <t>Sylvain Mamy Tina</t>
  </si>
  <si>
    <t>0068</t>
  </si>
  <si>
    <t>RALIJAONA Jean François</t>
  </si>
  <si>
    <t>RALIJAONA</t>
  </si>
  <si>
    <t>Jean François</t>
  </si>
  <si>
    <t>0069</t>
  </si>
  <si>
    <t>RAKOTOARISON Jean Marc</t>
  </si>
  <si>
    <t>RAKOTOARISON</t>
  </si>
  <si>
    <t>Jean Marc</t>
  </si>
  <si>
    <t>0070</t>
  </si>
  <si>
    <t>RANDRIANARISON Germain Dieudonné</t>
  </si>
  <si>
    <t>RANDRIANARISON</t>
  </si>
  <si>
    <t>Germain Dieudonné</t>
  </si>
  <si>
    <t>0071</t>
  </si>
  <si>
    <t>ANDRIATSALAMA Rasolofoniaina P.</t>
  </si>
  <si>
    <t>ANDRIATSALAMA</t>
  </si>
  <si>
    <t>Rasolofoniaina P.</t>
  </si>
  <si>
    <t>0072</t>
  </si>
  <si>
    <t>RAZANABOLA Clarisse</t>
  </si>
  <si>
    <t>RAZANABOLA</t>
  </si>
  <si>
    <t>Clarisse</t>
  </si>
  <si>
    <t>0073</t>
  </si>
  <si>
    <t>RAZANAMAHASOLO Marie Louisette</t>
  </si>
  <si>
    <t>RAZANAMAHASOLO</t>
  </si>
  <si>
    <t>Marie Louisette</t>
  </si>
  <si>
    <t>0074</t>
  </si>
  <si>
    <t>SOLIFINY</t>
  </si>
  <si>
    <t>0075</t>
  </si>
  <si>
    <t>SOLOMAMY Yvon Frederson</t>
  </si>
  <si>
    <t>SOLOMAMY</t>
  </si>
  <si>
    <t>Yvon Frederson</t>
  </si>
  <si>
    <t>Conducteur de Passerelle</t>
  </si>
  <si>
    <t>0077</t>
  </si>
  <si>
    <t>RAKOTONIRINA Victor</t>
  </si>
  <si>
    <t>RAKOTONIRINA</t>
  </si>
  <si>
    <t>Victor</t>
  </si>
  <si>
    <t>0079</t>
  </si>
  <si>
    <t>RAFANOMEZANTSOA Lantoniaina</t>
  </si>
  <si>
    <t>RAFANOMEZANTSOA</t>
  </si>
  <si>
    <t>Lantoniaina</t>
  </si>
  <si>
    <t>0080</t>
  </si>
  <si>
    <t>RANDRIAMIHAJASON Fidy H.</t>
  </si>
  <si>
    <t>RANDRIAMIHAJASON</t>
  </si>
  <si>
    <t>Fidy H.</t>
  </si>
  <si>
    <t>Magasinier</t>
  </si>
  <si>
    <t>0082</t>
  </si>
  <si>
    <t>RANDRIANARIFIDY Jean Bruno</t>
  </si>
  <si>
    <t>RANDRIANARIFIDY</t>
  </si>
  <si>
    <t>Jean Bruno</t>
  </si>
  <si>
    <t>Soudeur</t>
  </si>
  <si>
    <t>0085</t>
  </si>
  <si>
    <t>ANDRIAMAMISOA Rabeantoandro</t>
  </si>
  <si>
    <t>ANDRIAMAMISOA</t>
  </si>
  <si>
    <t>Rabeantoandro</t>
  </si>
  <si>
    <t>0086</t>
  </si>
  <si>
    <t>RAZAFINDRALAMBO Prinsy Andriamparany</t>
  </si>
  <si>
    <t>RAZAFINDRALAMBO</t>
  </si>
  <si>
    <t>Prinsy Andriamparany</t>
  </si>
  <si>
    <t>Plombier</t>
  </si>
  <si>
    <t>0087</t>
  </si>
  <si>
    <t>RALAIKOTONILALA Franq Brice</t>
  </si>
  <si>
    <t>RALAIKOTONILALA</t>
  </si>
  <si>
    <t>Franq Brice</t>
  </si>
  <si>
    <t>0088</t>
  </si>
  <si>
    <t>RAKOTOARIMANANA Vonjiniaina A.</t>
  </si>
  <si>
    <t>RAKOTOARIMANANA</t>
  </si>
  <si>
    <t>Vonjiniaina A.</t>
  </si>
  <si>
    <t>0090</t>
  </si>
  <si>
    <t>ANDRIANANTOANDRO Hantanirina Dyna</t>
  </si>
  <si>
    <t>ANDRIANANTOANDRO</t>
  </si>
  <si>
    <t>Hantanirina Dyna</t>
  </si>
  <si>
    <t>0092</t>
  </si>
  <si>
    <t>RAMAHANDRISOA Maminiaina Pascal</t>
  </si>
  <si>
    <t>RAMAHANDRISOA</t>
  </si>
  <si>
    <t>Maminiaina Pascal</t>
  </si>
  <si>
    <t>Agent statistiques et facturation</t>
  </si>
  <si>
    <t>0094</t>
  </si>
  <si>
    <t>TONGAZARA Théogène</t>
  </si>
  <si>
    <t>TONGAZARA</t>
  </si>
  <si>
    <t>Théogène</t>
  </si>
  <si>
    <t>0095</t>
  </si>
  <si>
    <t>RAZAKAMANANTSOA Maminiaina</t>
  </si>
  <si>
    <t>RAZAKAMANANTSOA</t>
  </si>
  <si>
    <t>Maminiaina</t>
  </si>
  <si>
    <t>0096</t>
  </si>
  <si>
    <t>MAMIZARA Natacha</t>
  </si>
  <si>
    <t>MAMIZARA</t>
  </si>
  <si>
    <t>Natacha</t>
  </si>
  <si>
    <t>0097</t>
  </si>
  <si>
    <t>JOMA Phillipine</t>
  </si>
  <si>
    <t>JOMA</t>
  </si>
  <si>
    <t>Phillipine</t>
  </si>
  <si>
    <t>0098</t>
  </si>
  <si>
    <t>TOMBO Laurette</t>
  </si>
  <si>
    <t>TOMBO</t>
  </si>
  <si>
    <t>Laurette</t>
  </si>
  <si>
    <t>0099</t>
  </si>
  <si>
    <t>RASOANANTENAINA Lydia Lucky</t>
  </si>
  <si>
    <t>RASOANANTENAINA</t>
  </si>
  <si>
    <t>Lydia Lucky</t>
  </si>
  <si>
    <t>0100</t>
  </si>
  <si>
    <t>RAMILIJAONA Rabemanantsoa Caroline</t>
  </si>
  <si>
    <t>RAMILIJAONA</t>
  </si>
  <si>
    <t>Rabemanantsoa Caroline</t>
  </si>
  <si>
    <t>0101</t>
  </si>
  <si>
    <t>RAZANAMAHEFA Hanitra Irène</t>
  </si>
  <si>
    <t>RAZANAMAHEFA</t>
  </si>
  <si>
    <t>Hanitra Irène</t>
  </si>
  <si>
    <t>0102</t>
  </si>
  <si>
    <t>RAKOTOZANDRY Virginie</t>
  </si>
  <si>
    <t>RAKOTOZANDRY</t>
  </si>
  <si>
    <t>Virginie</t>
  </si>
  <si>
    <t>0103</t>
  </si>
  <si>
    <t>RAZAFINDRAKOTO Jean Jacques</t>
  </si>
  <si>
    <t>RAZAFINDRAKOTO</t>
  </si>
  <si>
    <t>Jean Jacques</t>
  </si>
  <si>
    <t>0104</t>
  </si>
  <si>
    <t>RAHARISON Andriamialisoa Elisa</t>
  </si>
  <si>
    <t>RAHARISON</t>
  </si>
  <si>
    <t>Andriamialisoa Elisa</t>
  </si>
  <si>
    <t>Hôtesse d'Accueil</t>
  </si>
  <si>
    <t>0106</t>
  </si>
  <si>
    <t>RAJAONARIVONY Hina Soaniaina</t>
  </si>
  <si>
    <t>RAJAONARIVONY</t>
  </si>
  <si>
    <t>Hina Soaniaina</t>
  </si>
  <si>
    <t>0107</t>
  </si>
  <si>
    <t>RAKOTONDRANAIVO Olivier</t>
  </si>
  <si>
    <t>Olivier</t>
  </si>
  <si>
    <t>0108</t>
  </si>
  <si>
    <t>RANDRIANARIVO Solo H.</t>
  </si>
  <si>
    <t>RANDRIANARIVO</t>
  </si>
  <si>
    <t>Solo H.</t>
  </si>
  <si>
    <t>0109</t>
  </si>
  <si>
    <t>RASOLOARISON Pascal</t>
  </si>
  <si>
    <t>RASOLOARISON</t>
  </si>
  <si>
    <t>Pascal</t>
  </si>
  <si>
    <t>0110</t>
  </si>
  <si>
    <t>MAMPIONONA N. Tahiriniaina</t>
  </si>
  <si>
    <t>MAMPIONONA</t>
  </si>
  <si>
    <t>N. Tahiriniaina</t>
  </si>
  <si>
    <t>0111</t>
  </si>
  <si>
    <t>RAKOTONANAHARY Verohanitra J.</t>
  </si>
  <si>
    <t>RAKOTONANAHARY</t>
  </si>
  <si>
    <t>Verohanitra J.</t>
  </si>
  <si>
    <t>0112</t>
  </si>
  <si>
    <t>RAMAHANDRIMBOLATIANA Olivier</t>
  </si>
  <si>
    <t>RAMAHANDRIMBOLATIANA</t>
  </si>
  <si>
    <t>Chauffeur</t>
  </si>
  <si>
    <t>0113</t>
  </si>
  <si>
    <t>ANDRIANJAFY Jimmy</t>
  </si>
  <si>
    <t>ANDRIANJAFY</t>
  </si>
  <si>
    <t>Jimmy</t>
  </si>
  <si>
    <t>0114</t>
  </si>
  <si>
    <t>BERAOLONA Georges Noël</t>
  </si>
  <si>
    <t>BERAOLONA</t>
  </si>
  <si>
    <t>Georges Noël</t>
  </si>
  <si>
    <t>0115</t>
  </si>
  <si>
    <t>RAZAFIMANANTSOA Njaka A.</t>
  </si>
  <si>
    <t>RAZAFIMANANTSOA</t>
  </si>
  <si>
    <t>Njaka A.</t>
  </si>
  <si>
    <t>Projeteur-métreur</t>
  </si>
  <si>
    <t>MAINTENANCE TNR</t>
  </si>
  <si>
    <t>0116</t>
  </si>
  <si>
    <t>RAMANANDRAITSIORY A. Herijaona</t>
  </si>
  <si>
    <t>RAMANANDRAITSIORY</t>
  </si>
  <si>
    <t>A. Herijaona</t>
  </si>
  <si>
    <t>0117</t>
  </si>
  <si>
    <t>RAJAOHARILALA T. Marka</t>
  </si>
  <si>
    <t>RAJAOHARILALA</t>
  </si>
  <si>
    <t>T. Marka</t>
  </si>
  <si>
    <t>0118</t>
  </si>
  <si>
    <t>RAVONINJATOVO Serge Pétain</t>
  </si>
  <si>
    <t>RAVONINJATOVO</t>
  </si>
  <si>
    <t>Serge Pétain</t>
  </si>
  <si>
    <t>0119</t>
  </si>
  <si>
    <t>RATSIMBA Rantoanina Toavina</t>
  </si>
  <si>
    <t>RATSIMBA</t>
  </si>
  <si>
    <t>Rantoanina Toavina</t>
  </si>
  <si>
    <t>Chef de Service Relations Sociales</t>
  </si>
  <si>
    <t>RELATIONS SOCIALES</t>
  </si>
  <si>
    <t>0120</t>
  </si>
  <si>
    <t>RASOLOFONIAINA Toetra Andoarinelina</t>
  </si>
  <si>
    <t>RASOLOFONIAINA</t>
  </si>
  <si>
    <t>Toetra Andoarinelina</t>
  </si>
  <si>
    <t>Assistant Commandant NOS</t>
  </si>
  <si>
    <t>0121</t>
  </si>
  <si>
    <t>RAKOTOARIVELO Volahasina</t>
  </si>
  <si>
    <t>RAKOTOARIVELO</t>
  </si>
  <si>
    <t>Volahasina</t>
  </si>
  <si>
    <t>0122</t>
  </si>
  <si>
    <t>ANDRIANASOLO Hervé Nirina</t>
  </si>
  <si>
    <t>ANDRIANASOLO</t>
  </si>
  <si>
    <t>Hervé Nirina</t>
  </si>
  <si>
    <t>0123</t>
  </si>
  <si>
    <t>HARIMALALA Bodo Seheno</t>
  </si>
  <si>
    <t>HARIMALALA</t>
  </si>
  <si>
    <t>Bodo Seheno</t>
  </si>
  <si>
    <t>0124</t>
  </si>
  <si>
    <t>LI SUO TSAN Razanamalala Murielle</t>
  </si>
  <si>
    <t>LI SUO TSAN</t>
  </si>
  <si>
    <t>Razanamalala Murielle</t>
  </si>
  <si>
    <t>Secrétaire</t>
  </si>
  <si>
    <t>DEVELOPPEMENT RH</t>
  </si>
  <si>
    <t>0125</t>
  </si>
  <si>
    <t>HARISOA Nofy</t>
  </si>
  <si>
    <t>HARISOA</t>
  </si>
  <si>
    <t>Nofy</t>
  </si>
  <si>
    <t>0127</t>
  </si>
  <si>
    <t>RAKOTOARISOA Soloniaina Vero</t>
  </si>
  <si>
    <t>Soloniaina Vero</t>
  </si>
  <si>
    <t>0128</t>
  </si>
  <si>
    <t>TSIMAFAITSE Brunton Jacques</t>
  </si>
  <si>
    <t>TSIMAFAITSE</t>
  </si>
  <si>
    <t>Brunton Jacques</t>
  </si>
  <si>
    <t>0129</t>
  </si>
  <si>
    <t>RANDRIANARISOA Maminiaina N.</t>
  </si>
  <si>
    <t>RANDRIANARISOA</t>
  </si>
  <si>
    <t>Maminiaina N.</t>
  </si>
  <si>
    <t>0130</t>
  </si>
  <si>
    <t>RAZAFIMAZAVA Christian</t>
  </si>
  <si>
    <t>RAZAFIMAZAVA</t>
  </si>
  <si>
    <t>Christian</t>
  </si>
  <si>
    <t>0131</t>
  </si>
  <si>
    <t>RANDRIANARIVO Fernand</t>
  </si>
  <si>
    <t>Fernand</t>
  </si>
  <si>
    <t>0132</t>
  </si>
  <si>
    <t>RAKOTONDRAZAKA Vero Angeline</t>
  </si>
  <si>
    <t>RAKOTONDRAZAKA</t>
  </si>
  <si>
    <t>Vero Angeline</t>
  </si>
  <si>
    <t>Cheffe de Quart</t>
  </si>
  <si>
    <t>0133</t>
  </si>
  <si>
    <t>ANDRIANALIVOLA Noro Herimanitra R.</t>
  </si>
  <si>
    <t>ANDRIANALIVOLA</t>
  </si>
  <si>
    <t>Noro Herimanitra R.</t>
  </si>
  <si>
    <t>Responsable des Accès Sécurisés du Terminal Passagers</t>
  </si>
  <si>
    <t>0134</t>
  </si>
  <si>
    <t>RAZAKARIVONY Luc Gabriel</t>
  </si>
  <si>
    <t>RAZAKARIVONY</t>
  </si>
  <si>
    <t>Luc Gabriel</t>
  </si>
  <si>
    <t>0135</t>
  </si>
  <si>
    <t>RAZAFINDRAKOTO Mamy Harilala F.</t>
  </si>
  <si>
    <t>Mamy Harilala F.</t>
  </si>
  <si>
    <t>0136</t>
  </si>
  <si>
    <t>RABEARISOLO Rivo Njakatiana</t>
  </si>
  <si>
    <t>RABEARISOLO</t>
  </si>
  <si>
    <t>Rivo Njakatiana</t>
  </si>
  <si>
    <t>0137</t>
  </si>
  <si>
    <t>RANDRIAMANALINA Ignace Nirina Samsoa</t>
  </si>
  <si>
    <t>RANDRIAMANALINA</t>
  </si>
  <si>
    <t>Ignace Nirina Samsoa</t>
  </si>
  <si>
    <t>0138</t>
  </si>
  <si>
    <t>RAHAJARISOA Volana</t>
  </si>
  <si>
    <t>RAHAJARISOA</t>
  </si>
  <si>
    <t>Volana</t>
  </si>
  <si>
    <t>0139</t>
  </si>
  <si>
    <t>ANDOLALA Armand</t>
  </si>
  <si>
    <t>ANDOLALA</t>
  </si>
  <si>
    <t>Armand</t>
  </si>
  <si>
    <t>Electricien</t>
  </si>
  <si>
    <t>0140</t>
  </si>
  <si>
    <t>RALAIARISON Henitsoa Tahiana</t>
  </si>
  <si>
    <t>RALAIARISON</t>
  </si>
  <si>
    <t>Henitsoa Tahiana</t>
  </si>
  <si>
    <t>0141</t>
  </si>
  <si>
    <t>RANDRIANALISOA Haingonirainy</t>
  </si>
  <si>
    <t>RANDRIANALISOA</t>
  </si>
  <si>
    <t>Haingonirainy</t>
  </si>
  <si>
    <t>0142</t>
  </si>
  <si>
    <t>RASOANATOANDRO Rose Delman</t>
  </si>
  <si>
    <t>RASOANATOANDRO</t>
  </si>
  <si>
    <t>Rose Delman</t>
  </si>
  <si>
    <t>Opératrice d'Incinérateur</t>
  </si>
  <si>
    <t>METHODE, DOCUMENTS ET SOUS-TRAITANTS</t>
  </si>
  <si>
    <t>0143</t>
  </si>
  <si>
    <t>RAKOTOSON Odilon Brisquimi</t>
  </si>
  <si>
    <t>RAKOTOSON</t>
  </si>
  <si>
    <t>Odilon Brisquimi</t>
  </si>
  <si>
    <t>Opérateur d'Incinérateur</t>
  </si>
  <si>
    <t>0144</t>
  </si>
  <si>
    <t>RAZANAJAFY Minosoa Véronique</t>
  </si>
  <si>
    <t>RAZANAJAFY</t>
  </si>
  <si>
    <t>Minosoa Véronique</t>
  </si>
  <si>
    <t>0146</t>
  </si>
  <si>
    <t>RAFANOMEZANTSOA Fenitranirina Odon</t>
  </si>
  <si>
    <t>Fenitranirina Odon</t>
  </si>
  <si>
    <t>0147</t>
  </si>
  <si>
    <t>VOAVY Robinse</t>
  </si>
  <si>
    <t>VOAVY</t>
  </si>
  <si>
    <t>Robinse</t>
  </si>
  <si>
    <t>0148</t>
  </si>
  <si>
    <t>ANDRIAMIHAVANA Thierry Fancisko</t>
  </si>
  <si>
    <t>ANDRIAMIHAVANA</t>
  </si>
  <si>
    <t>Thierry Fancisko</t>
  </si>
  <si>
    <t>0150</t>
  </si>
  <si>
    <t>ZARATOMBO François</t>
  </si>
  <si>
    <t>ZARATOMBO</t>
  </si>
  <si>
    <t>François</t>
  </si>
  <si>
    <t>0151</t>
  </si>
  <si>
    <t>RAZAFIMANDIMBY Closmine</t>
  </si>
  <si>
    <t>RAZAFIMANDIMBY</t>
  </si>
  <si>
    <t>Closmine</t>
  </si>
  <si>
    <t>0152</t>
  </si>
  <si>
    <t>TOMBOSOA Floria</t>
  </si>
  <si>
    <t>TOMBOSOA</t>
  </si>
  <si>
    <t>Floria</t>
  </si>
  <si>
    <t>0153</t>
  </si>
  <si>
    <t>SOATOMBO Bienvenue</t>
  </si>
  <si>
    <t>SOATOMBO</t>
  </si>
  <si>
    <t>Bienvenue</t>
  </si>
  <si>
    <t>0154</t>
  </si>
  <si>
    <t>RAJAOZARA Bruno</t>
  </si>
  <si>
    <t>RAJAOZARA</t>
  </si>
  <si>
    <t>Bruno</t>
  </si>
  <si>
    <t>0155</t>
  </si>
  <si>
    <t>MARIARISOA Mamie</t>
  </si>
  <si>
    <t>MARIARISOA</t>
  </si>
  <si>
    <t>Mamie</t>
  </si>
  <si>
    <t>Conductrice de Passerelle</t>
  </si>
  <si>
    <t>0157</t>
  </si>
  <si>
    <t>JAOTOMBO Jean Martin</t>
  </si>
  <si>
    <t>JAOTOMBO</t>
  </si>
  <si>
    <t>Jean Martin</t>
  </si>
  <si>
    <t>0158</t>
  </si>
  <si>
    <t>RAZAFIMAHATRATRA Hariniaina Michael</t>
  </si>
  <si>
    <t>RAZAFIMAHATRATRA</t>
  </si>
  <si>
    <t>Hariniaina Michael</t>
  </si>
  <si>
    <t>0161</t>
  </si>
  <si>
    <t>RAKOTOARISOA Sambatra</t>
  </si>
  <si>
    <t>Sambatra</t>
  </si>
  <si>
    <t>Responsable Planification et SGS</t>
  </si>
  <si>
    <t>C12</t>
  </si>
  <si>
    <t>0162</t>
  </si>
  <si>
    <t>RAHERISOA Gilbert</t>
  </si>
  <si>
    <t>RAHERISOA</t>
  </si>
  <si>
    <t>Gilbert</t>
  </si>
  <si>
    <t>0163</t>
  </si>
  <si>
    <t>RAJAONARIVELO Tony Johary</t>
  </si>
  <si>
    <t>RAJAONARIVELO</t>
  </si>
  <si>
    <t>Tony Johary</t>
  </si>
  <si>
    <t>Responsable Ressources et Programme</t>
  </si>
  <si>
    <t>0164</t>
  </si>
  <si>
    <t>RAKOTONIRINA Jean Christian</t>
  </si>
  <si>
    <t>Jean Christian</t>
  </si>
  <si>
    <t>0165</t>
  </si>
  <si>
    <t>ANDRIANOMENY Johary Zo</t>
  </si>
  <si>
    <t>ANDRIANOMENY</t>
  </si>
  <si>
    <t>Johary Zo</t>
  </si>
  <si>
    <t>Assistante aux Usagers</t>
  </si>
  <si>
    <t>0166</t>
  </si>
  <si>
    <t>TSIALA Ganjah Kennedy</t>
  </si>
  <si>
    <t>TSIALA</t>
  </si>
  <si>
    <t>Ganjah Kennedy</t>
  </si>
  <si>
    <t>Aide électromécanicen</t>
  </si>
  <si>
    <t>0167</t>
  </si>
  <si>
    <t>TIARAY Onja Zoeliniaina</t>
  </si>
  <si>
    <t>TIARAY</t>
  </si>
  <si>
    <t>Onja Zoeliniaina</t>
  </si>
  <si>
    <t>0169</t>
  </si>
  <si>
    <t>RAHARISON A. Tahina</t>
  </si>
  <si>
    <t>A. Tahina</t>
  </si>
  <si>
    <t>Chef des Superviseurs Parking</t>
  </si>
  <si>
    <t>0171</t>
  </si>
  <si>
    <t>ANDRIAMILANTO Harisolo Francia</t>
  </si>
  <si>
    <t>ANDRIAMILANTO</t>
  </si>
  <si>
    <t>Harisolo Francia</t>
  </si>
  <si>
    <t>0173</t>
  </si>
  <si>
    <t>RANDRIANANDRAINA Andriantsoa Rianando</t>
  </si>
  <si>
    <t>RANDRIANANDRAINA</t>
  </si>
  <si>
    <t>Andriantsoa Rianando</t>
  </si>
  <si>
    <t>0174</t>
  </si>
  <si>
    <t>RAJERISON RASAONA Andry Lova Tiana</t>
  </si>
  <si>
    <t>RAJERISON RASAONA</t>
  </si>
  <si>
    <t>Andry Lova Tiana</t>
  </si>
  <si>
    <t>Chef de Département Maintenance Multi-technique</t>
  </si>
  <si>
    <t>0175</t>
  </si>
  <si>
    <t>RAKOTOARIMANANA Yvon Claude S.</t>
  </si>
  <si>
    <t>Yvon Claude S.</t>
  </si>
  <si>
    <t>Chef de Service Facturation et Statistique</t>
  </si>
  <si>
    <t>0177</t>
  </si>
  <si>
    <t>RAHANTAMALALA Seheno Sandrine</t>
  </si>
  <si>
    <t>RAHANTAMALALA</t>
  </si>
  <si>
    <t>Seheno Sandrine</t>
  </si>
  <si>
    <t>Cheffe de Département Communication et Relations Publiques</t>
  </si>
  <si>
    <t>COMMUNICATION</t>
  </si>
  <si>
    <t>COM</t>
  </si>
  <si>
    <t>0179</t>
  </si>
  <si>
    <t>RAVOLOLONIRINA Johanna Marie</t>
  </si>
  <si>
    <t>RAVOLOLONIRINA</t>
  </si>
  <si>
    <t>Johanna Marie</t>
  </si>
  <si>
    <t>Assistante Administrative et Financière</t>
  </si>
  <si>
    <t>0181</t>
  </si>
  <si>
    <t>RABESON Josie</t>
  </si>
  <si>
    <t>RABESON</t>
  </si>
  <si>
    <t>Josie</t>
  </si>
  <si>
    <t>Cheffe de Département Juridique et Assurances</t>
  </si>
  <si>
    <t>0182</t>
  </si>
  <si>
    <t>RASOLOMANANA Dealilalaina Sedera</t>
  </si>
  <si>
    <t>RASOLOMANANA</t>
  </si>
  <si>
    <t>Dealilalaina Sedera</t>
  </si>
  <si>
    <t>Directrice des Ressources Humaines</t>
  </si>
  <si>
    <t>RESSOURCES HUMAINES</t>
  </si>
  <si>
    <t>C13</t>
  </si>
  <si>
    <t>0183</t>
  </si>
  <si>
    <t>RAMAROLAHY Andrianantenaina</t>
  </si>
  <si>
    <t>RAMAROLAHY</t>
  </si>
  <si>
    <t>Andrianantenaina</t>
  </si>
  <si>
    <t>Chef Comptable</t>
  </si>
  <si>
    <t>0186</t>
  </si>
  <si>
    <t>RAKOTONDRAMANANA Felana Tatamosoa</t>
  </si>
  <si>
    <t>RAKOTONDRAMANANA</t>
  </si>
  <si>
    <t>Felana Tatamosoa</t>
  </si>
  <si>
    <t>Attachée de Direction</t>
  </si>
  <si>
    <t>DGE</t>
  </si>
  <si>
    <t>0190</t>
  </si>
  <si>
    <t>ANDRIAMIHANTARISOA Tahiry Harinjaka</t>
  </si>
  <si>
    <t>ANDRIAMIHANTARISOA</t>
  </si>
  <si>
    <t>Tahiry Harinjaka</t>
  </si>
  <si>
    <t>Peintre</t>
  </si>
  <si>
    <t>0192</t>
  </si>
  <si>
    <t>RAVOAVITAHINA Jean Aimé</t>
  </si>
  <si>
    <t>RAVOAVITAHINA</t>
  </si>
  <si>
    <t>Jean Aimé</t>
  </si>
  <si>
    <t>0195</t>
  </si>
  <si>
    <t>RAKOTONDRAMAZAVA Michou</t>
  </si>
  <si>
    <t>RAKOTONDRAMAZAVA</t>
  </si>
  <si>
    <t>Michou</t>
  </si>
  <si>
    <t>Contrôleuse de Crédit et Facturation</t>
  </si>
  <si>
    <t>0196</t>
  </si>
  <si>
    <t>RATELOSON Aina Sandy</t>
  </si>
  <si>
    <t>RATELOSON</t>
  </si>
  <si>
    <t>Aina Sandy</t>
  </si>
  <si>
    <t>0197</t>
  </si>
  <si>
    <t>NAMELANATOANDRO Fetrarinosy Aurélia</t>
  </si>
  <si>
    <t>NAMELANATOANDRO</t>
  </si>
  <si>
    <t>Fetrarinosy Aurélia</t>
  </si>
  <si>
    <t>0198</t>
  </si>
  <si>
    <t>RAKOTOMANGA Meja</t>
  </si>
  <si>
    <t>RAKOTOMANGA</t>
  </si>
  <si>
    <t>Meja</t>
  </si>
  <si>
    <t>Agente Slot AOCC</t>
  </si>
  <si>
    <t>0199</t>
  </si>
  <si>
    <t>ANDRIANARISON Natacha Hariniaina</t>
  </si>
  <si>
    <t>ANDRIANARISON</t>
  </si>
  <si>
    <t>Natacha Hariniaina</t>
  </si>
  <si>
    <t>0200</t>
  </si>
  <si>
    <t>RANDRIAMIHARISOA Ravakiniaina</t>
  </si>
  <si>
    <t>RANDRIAMIHARISOA</t>
  </si>
  <si>
    <t>Ravakiniaina</t>
  </si>
  <si>
    <t>0201</t>
  </si>
  <si>
    <t>MANDIMBIHARISETRA Ainimpanana</t>
  </si>
  <si>
    <t>MANDIMBIHARISETRA</t>
  </si>
  <si>
    <t>Ainimpanana</t>
  </si>
  <si>
    <t>0202</t>
  </si>
  <si>
    <t>ANDRIANJAFINIRINA Mahandry</t>
  </si>
  <si>
    <t>ANDRIANJAFINIRINA</t>
  </si>
  <si>
    <t>Mahandry</t>
  </si>
  <si>
    <t>Chef de Quart</t>
  </si>
  <si>
    <t>0203</t>
  </si>
  <si>
    <t>KANDRY Stéphane</t>
  </si>
  <si>
    <t>KANDRY</t>
  </si>
  <si>
    <t>Stéphane</t>
  </si>
  <si>
    <t>0204</t>
  </si>
  <si>
    <t>RAJAONARIVELO Iharimbinintsoa</t>
  </si>
  <si>
    <t>Iharimbinintsoa</t>
  </si>
  <si>
    <t>Superviseur Parking</t>
  </si>
  <si>
    <t>0205</t>
  </si>
  <si>
    <t>RANDRIANARIVONY Zo Tokiniaina</t>
  </si>
  <si>
    <t>RANDRIANARIVONY</t>
  </si>
  <si>
    <t>Zo Tokiniaina</t>
  </si>
  <si>
    <t>Agent Slot AOCC</t>
  </si>
  <si>
    <t>0206</t>
  </si>
  <si>
    <t>RABETOKOTANY Ianjanirina</t>
  </si>
  <si>
    <t xml:space="preserve">RABETOKOTANY </t>
  </si>
  <si>
    <t>Ianjanirina</t>
  </si>
  <si>
    <t>Rédactrice Technique</t>
  </si>
  <si>
    <t>0207</t>
  </si>
  <si>
    <t>RAKOTOARIMANANA Judi Kaël</t>
  </si>
  <si>
    <t>Judi Kaël</t>
  </si>
  <si>
    <t>Superviseur parking</t>
  </si>
  <si>
    <t>0208</t>
  </si>
  <si>
    <t>RAFANILONIAINA Fanjanirina</t>
  </si>
  <si>
    <t xml:space="preserve">RAFANILONIAINA </t>
  </si>
  <si>
    <t>Fanjanirina</t>
  </si>
  <si>
    <t>Responsable des Recettes au Comptant</t>
  </si>
  <si>
    <t>0209</t>
  </si>
  <si>
    <t>RASOAMAROMAKA Danah</t>
  </si>
  <si>
    <t>RASOAMAROMAKA</t>
  </si>
  <si>
    <t>Danah</t>
  </si>
  <si>
    <t>Cheffe de Département Finances et Comptabilité</t>
  </si>
  <si>
    <t>0217</t>
  </si>
  <si>
    <t>RAZAFINDRALAMBO Andriamanamisata</t>
  </si>
  <si>
    <t>Andriamanamisata</t>
  </si>
  <si>
    <t>Responsable Production IT</t>
  </si>
  <si>
    <t>INFORMATIQUE</t>
  </si>
  <si>
    <t>DSI</t>
  </si>
  <si>
    <t>0218</t>
  </si>
  <si>
    <t>RAZANAHOERA Tahina Vero Lanto</t>
  </si>
  <si>
    <t xml:space="preserve">RAZANAHOERA </t>
  </si>
  <si>
    <t>Tahina Vero Lanto</t>
  </si>
  <si>
    <t>0219</t>
  </si>
  <si>
    <t>ANDRIANTSIADIANA Hobby</t>
  </si>
  <si>
    <t>ANDRIANTSIADIANA</t>
  </si>
  <si>
    <t>Hobby</t>
  </si>
  <si>
    <t>0221</t>
  </si>
  <si>
    <t>RASOLONIAINA Litania</t>
  </si>
  <si>
    <t>RASOLONIAINA</t>
  </si>
  <si>
    <t>Litania</t>
  </si>
  <si>
    <t>0222</t>
  </si>
  <si>
    <t>RATSIMBAZAFY Felaniaina Onivololona</t>
  </si>
  <si>
    <t>RATSIMBAZAFY</t>
  </si>
  <si>
    <t>Felaniaina Onivololona</t>
  </si>
  <si>
    <t>Directrice QHSSSE et Management des Risques</t>
  </si>
  <si>
    <t>0224</t>
  </si>
  <si>
    <t>ANDRIAMIHAJA Herimalala Naly</t>
  </si>
  <si>
    <t>ANDRIAMIHAJA</t>
  </si>
  <si>
    <t>Herimalala Naly</t>
  </si>
  <si>
    <t>0225</t>
  </si>
  <si>
    <t>RALISON Faliniaina Christian</t>
  </si>
  <si>
    <t>RALISON</t>
  </si>
  <si>
    <t>Faliniaina Christian</t>
  </si>
  <si>
    <t>0226</t>
  </si>
  <si>
    <t>RAZAFIMAHATRATRA Nirina Marius</t>
  </si>
  <si>
    <t>Nirina Marius</t>
  </si>
  <si>
    <t>Chef de Département Airside</t>
  </si>
  <si>
    <t>0229</t>
  </si>
  <si>
    <t>RAKOTONDRATSIMBA Hanitra Nadia</t>
  </si>
  <si>
    <t xml:space="preserve">RAKOTONDRATSIMBA </t>
  </si>
  <si>
    <t>Hanitra Nadia</t>
  </si>
  <si>
    <t>Cheffe de Département fret</t>
  </si>
  <si>
    <t>0230</t>
  </si>
  <si>
    <t>RANDRIAMASY Rila</t>
  </si>
  <si>
    <t>RANDRIAMASY</t>
  </si>
  <si>
    <t>Rila</t>
  </si>
  <si>
    <t>Chef de Service Achats</t>
  </si>
  <si>
    <t>0231</t>
  </si>
  <si>
    <t>RASOAMAROMAKA Faratiana</t>
  </si>
  <si>
    <t>Faratiana</t>
  </si>
  <si>
    <t>Agent Services Généraux</t>
  </si>
  <si>
    <t>0232</t>
  </si>
  <si>
    <t>RANDRIANARIVELO Fanilomanantsoa</t>
  </si>
  <si>
    <t>RANDRIANARIVELO</t>
  </si>
  <si>
    <t>Fanilomanantsoa</t>
  </si>
  <si>
    <t>0233</t>
  </si>
  <si>
    <t>RASAMOELY Fanja Miary</t>
  </si>
  <si>
    <t>RASAMOELY</t>
  </si>
  <si>
    <t>Fanja Miary</t>
  </si>
  <si>
    <t>Cheffe de Département Landside et terminal</t>
  </si>
  <si>
    <t>0234</t>
  </si>
  <si>
    <t>ANDRIANTOLOTIANA RAVONIRINA Herimboahary Dinarisoa</t>
  </si>
  <si>
    <t>ANDRIANTOLOTIANA RAVONIRINA</t>
  </si>
  <si>
    <t>Herimboahary Dinarisoa</t>
  </si>
  <si>
    <t>Comptable Immobilisation et Taxes</t>
  </si>
  <si>
    <t>0235</t>
  </si>
  <si>
    <t>HENINTSOA Nora Christian</t>
  </si>
  <si>
    <t xml:space="preserve">HENINTSOA </t>
  </si>
  <si>
    <t>Nora Christian</t>
  </si>
  <si>
    <t>MAINTENANCE NOS</t>
  </si>
  <si>
    <t>0236</t>
  </si>
  <si>
    <t>ANDRIAMASY Hans Lalaina</t>
  </si>
  <si>
    <t>ANDRIAMASY</t>
  </si>
  <si>
    <t>Hans Lalaina</t>
  </si>
  <si>
    <t>0238</t>
  </si>
  <si>
    <t>SETRANIAINA Toky</t>
  </si>
  <si>
    <t xml:space="preserve">SETRANIAINA </t>
  </si>
  <si>
    <t>Toky</t>
  </si>
  <si>
    <t>0240</t>
  </si>
  <si>
    <t>RAMARIJAONA Rabary Jachaziel</t>
  </si>
  <si>
    <t xml:space="preserve">RAMARIJAONA </t>
  </si>
  <si>
    <t>Rabary Jachaziel</t>
  </si>
  <si>
    <t>0241</t>
  </si>
  <si>
    <t>RANDRIAMIARANTSOA Haja</t>
  </si>
  <si>
    <t>RANDRIAMIARANTSOA</t>
  </si>
  <si>
    <t>Haja</t>
  </si>
  <si>
    <t>Comptable Trésorerie Senior</t>
  </si>
  <si>
    <t>TRESORERIE</t>
  </si>
  <si>
    <t>0243</t>
  </si>
  <si>
    <t>RAHERINOMENA Noroseheno</t>
  </si>
  <si>
    <t>RAHERINOMENA</t>
  </si>
  <si>
    <t>Noroseheno</t>
  </si>
  <si>
    <t>Assistante Trésorerie</t>
  </si>
  <si>
    <t>0244</t>
  </si>
  <si>
    <t>RAVELOJAON Soanomena Elizah</t>
  </si>
  <si>
    <t>RAVELOJAON</t>
  </si>
  <si>
    <t>Soanomena Elizah</t>
  </si>
  <si>
    <t>Responsable Relations Sociales, Communautaires et Suivi Evaluation</t>
  </si>
  <si>
    <t>0249</t>
  </si>
  <si>
    <t>ANTILAHY Jaoravoana Jean Clément</t>
  </si>
  <si>
    <t>ANTILAHY</t>
  </si>
  <si>
    <t xml:space="preserve">Jaoravoana Jean Clément </t>
  </si>
  <si>
    <t>0250</t>
  </si>
  <si>
    <t>SAY Elysée</t>
  </si>
  <si>
    <t>SAY</t>
  </si>
  <si>
    <t>Elysée</t>
  </si>
  <si>
    <t>Agent Polyvalent Exploitation</t>
  </si>
  <si>
    <t>0251</t>
  </si>
  <si>
    <t>RANAIVOJAONA Rondro</t>
  </si>
  <si>
    <t>RANAIVOJAONA</t>
  </si>
  <si>
    <t>Rondro</t>
  </si>
  <si>
    <t>Correspondante QHSE</t>
  </si>
  <si>
    <t>QHSSSE NOS</t>
  </si>
  <si>
    <t>0252</t>
  </si>
  <si>
    <t>RANDRIAMANANTENA Herisoa Josianne</t>
  </si>
  <si>
    <t>RANDRIAMANANTENA</t>
  </si>
  <si>
    <t>Herisoa Josianne</t>
  </si>
  <si>
    <t>Hôtesse d'accueil</t>
  </si>
  <si>
    <t>0254</t>
  </si>
  <si>
    <t>RAKOTONJANAHARY Betty Hantamalala</t>
  </si>
  <si>
    <t xml:space="preserve">RAKOTONJANAHARY </t>
  </si>
  <si>
    <t xml:space="preserve">Betty Hantamalala </t>
  </si>
  <si>
    <t>0256</t>
  </si>
  <si>
    <t>RAHAJATAFITASOA Laingo</t>
  </si>
  <si>
    <t xml:space="preserve">RAHAJATAFITASOA </t>
  </si>
  <si>
    <t>Laingo</t>
  </si>
  <si>
    <t>0257</t>
  </si>
  <si>
    <t>RAOILIMANANA Elinirina</t>
  </si>
  <si>
    <t>RAOILIMANANA</t>
  </si>
  <si>
    <t>Elinirina</t>
  </si>
  <si>
    <t>0260</t>
  </si>
  <si>
    <t>RANARISON Fanomezantsoa Giroday</t>
  </si>
  <si>
    <t>RANARISON</t>
  </si>
  <si>
    <t>Fanomezantsoa Giroday</t>
  </si>
  <si>
    <t>0261</t>
  </si>
  <si>
    <t>RAKOTOMAMONJY Fanomezana Mampionona</t>
  </si>
  <si>
    <t>RAKOTOMAMONJY</t>
  </si>
  <si>
    <t>Fanomezana Mampionona</t>
  </si>
  <si>
    <t>Assistante Commerciale et Marketing</t>
  </si>
  <si>
    <t>0264</t>
  </si>
  <si>
    <t>RAJAONARY Christian</t>
  </si>
  <si>
    <t>RAJAONARY</t>
  </si>
  <si>
    <t>Directeur des Systèmes d'Information</t>
  </si>
  <si>
    <t>0269</t>
  </si>
  <si>
    <t>RANDRIAMANAMPISOA Hariliva Mampionina Roger</t>
  </si>
  <si>
    <t>RANDRIAMANAMPISOA</t>
  </si>
  <si>
    <t>Hariliva Mampionina Roger</t>
  </si>
  <si>
    <t>0270</t>
  </si>
  <si>
    <t>RANDRIANARISON Noelison Jean Claude</t>
  </si>
  <si>
    <t>Noelison Jean Claude</t>
  </si>
  <si>
    <t>Chauffeur de Direction</t>
  </si>
  <si>
    <t>0271</t>
  </si>
  <si>
    <t>RAZATOVOMBAHOAKA Ando</t>
  </si>
  <si>
    <t>RAZATOVOMBAHOAKA</t>
  </si>
  <si>
    <t>Ando</t>
  </si>
  <si>
    <t>Cheffe de Département des Activités Non aéronautiques</t>
  </si>
  <si>
    <t>0272</t>
  </si>
  <si>
    <t>ANDRIANASOA Tojotahina</t>
  </si>
  <si>
    <t>ANDRIANASOA</t>
  </si>
  <si>
    <t>Tojotahina</t>
  </si>
  <si>
    <t>Responsable électromécanique</t>
  </si>
  <si>
    <t>0274</t>
  </si>
  <si>
    <t>RAKOTONIRAINY Rija Masinjaka</t>
  </si>
  <si>
    <t>RAKOTONIRAINY</t>
  </si>
  <si>
    <t>Rija Masinjaka</t>
  </si>
  <si>
    <t>Responsable Travaux</t>
  </si>
  <si>
    <t>0275</t>
  </si>
  <si>
    <t>RANDRIANANTENAINA Mamy</t>
  </si>
  <si>
    <t>RANDRIANANTENAINA</t>
  </si>
  <si>
    <t>Mamy</t>
  </si>
  <si>
    <t>Comptable Clients</t>
  </si>
  <si>
    <t>0279</t>
  </si>
  <si>
    <t>RAKOTOARISOA Mamy Vonjimampianina</t>
  </si>
  <si>
    <t>Mamy Vonjimampianina</t>
  </si>
  <si>
    <t>Responsable Infrastructures IT</t>
  </si>
  <si>
    <t>0281</t>
  </si>
  <si>
    <t>RAZAFINDRABE Herilala Zo Faniry</t>
  </si>
  <si>
    <t>Herilala Zo Faniry</t>
  </si>
  <si>
    <t>0283</t>
  </si>
  <si>
    <t>RATSIRAHONANA Robert</t>
  </si>
  <si>
    <t>RATSIRAHONANA</t>
  </si>
  <si>
    <t>Robert</t>
  </si>
  <si>
    <t>Technicien de Support sur Site</t>
  </si>
  <si>
    <t>0284</t>
  </si>
  <si>
    <t>RAZAFIMAMONJY Elie Jean Roger</t>
  </si>
  <si>
    <t>RAZAFIMAMONJY</t>
  </si>
  <si>
    <t>Elie Jean Roger</t>
  </si>
  <si>
    <t>0285</t>
  </si>
  <si>
    <t>RALAIARIMALALA Nathalie Doriane</t>
  </si>
  <si>
    <t>RALAIARIMALALA</t>
  </si>
  <si>
    <t>Nathalie Doriane</t>
  </si>
  <si>
    <t>Responsable Support</t>
  </si>
  <si>
    <t>0288</t>
  </si>
  <si>
    <t>RAHERIJAONA Rovaniaina Michelle</t>
  </si>
  <si>
    <t>RAHERIJAONA</t>
  </si>
  <si>
    <t>Rovaniaina Michelle</t>
  </si>
  <si>
    <t>Directrice Technique</t>
  </si>
  <si>
    <t>0289</t>
  </si>
  <si>
    <t>RAJOHNSON Zoelisoa Lalaina</t>
  </si>
  <si>
    <t>RAJOHNSON</t>
  </si>
  <si>
    <t>Zoelisoa Lalaina</t>
  </si>
  <si>
    <t>Directrice Commerciale et Marketing</t>
  </si>
  <si>
    <t>0291</t>
  </si>
  <si>
    <t>RAKOTOARIMANANA Andriaparatiana Henintsoa</t>
  </si>
  <si>
    <t>Andriaparatiana Henintsoa</t>
  </si>
  <si>
    <t>Administrateur Systèmes</t>
  </si>
  <si>
    <t>0292</t>
  </si>
  <si>
    <t>RATSARASATA Nina Navalona</t>
  </si>
  <si>
    <t>RATSARASATA</t>
  </si>
  <si>
    <t>Nina Navalona</t>
  </si>
  <si>
    <t>Responsable Santé et Sécurité au Travail</t>
  </si>
  <si>
    <t>0293</t>
  </si>
  <si>
    <t>RAZANAMPARANY Harisoa Andriantsiory</t>
  </si>
  <si>
    <t>RAZANAMPARANY</t>
  </si>
  <si>
    <t>Harisoa Andriantsiory</t>
  </si>
  <si>
    <t>Chargée de Communication et Relations Publiques</t>
  </si>
  <si>
    <t>0294</t>
  </si>
  <si>
    <t>MIANDRISOA Sitraka Christian Marie</t>
  </si>
  <si>
    <t>MIANDRISOA</t>
  </si>
  <si>
    <t>Sitraka Christian Marie</t>
  </si>
  <si>
    <t>Coursier Moto</t>
  </si>
  <si>
    <t>0295</t>
  </si>
  <si>
    <t>RAKOTOARIMANANA Maheriarivelo</t>
  </si>
  <si>
    <t>Maheriarivelo</t>
  </si>
  <si>
    <t>0297</t>
  </si>
  <si>
    <t>RAKOTOZAFY Minosoa Tatamo</t>
  </si>
  <si>
    <t>Minosoa Tatamo</t>
  </si>
  <si>
    <t>Cheffe de Département des Activités Aéronautiques</t>
  </si>
  <si>
    <t>0298</t>
  </si>
  <si>
    <t>RAKOTONDRAJOA Safidy</t>
  </si>
  <si>
    <t>RAKOTONDRAJOA</t>
  </si>
  <si>
    <t>Safidy</t>
  </si>
  <si>
    <t>Chargé d'Etude et Développement Applicatif</t>
  </si>
  <si>
    <t>0299</t>
  </si>
  <si>
    <t>RAKOTONIRINA Tovondrainy Herimandimby</t>
  </si>
  <si>
    <t>Tovondrainy Herimandimby</t>
  </si>
  <si>
    <t>Assistant Comptable Immobilisation et Taxes</t>
  </si>
  <si>
    <t>0300</t>
  </si>
  <si>
    <t>RATSIMBAZAFY Mbonitahina</t>
  </si>
  <si>
    <t>Mbonitahina</t>
  </si>
  <si>
    <t>Assistant Achats et Gestion de Stocks</t>
  </si>
  <si>
    <t>0304</t>
  </si>
  <si>
    <t>RANDRIAMANANTENA Ina Johannick</t>
  </si>
  <si>
    <t>Ina Johannick</t>
  </si>
  <si>
    <t>Responsable Sécurité des Systèmes d'Information</t>
  </si>
  <si>
    <t>0305</t>
  </si>
  <si>
    <t>RABENARISON Rotsy Fanaja</t>
  </si>
  <si>
    <t>RABENARISON</t>
  </si>
  <si>
    <t>Rotsy Fanaja</t>
  </si>
  <si>
    <t>Chargée d'Etude et Développement Applicatif</t>
  </si>
  <si>
    <t>0309</t>
  </si>
  <si>
    <t>ANDRIAMASY Philippe</t>
  </si>
  <si>
    <t>Philippe</t>
  </si>
  <si>
    <t>Coordinateur Terminal AOCC</t>
  </si>
  <si>
    <t>0312</t>
  </si>
  <si>
    <t>RAJAONARIVO Andolalaina Tantely</t>
  </si>
  <si>
    <t>RAJAONARIVO</t>
  </si>
  <si>
    <t>Andolalaina Tantely</t>
  </si>
  <si>
    <t>Superviseur Maintenance</t>
  </si>
  <si>
    <t>0313</t>
  </si>
  <si>
    <t>NARIZAFY Rija Masinisa</t>
  </si>
  <si>
    <t>NARIZAFY</t>
  </si>
  <si>
    <t>Rija Masinisa</t>
  </si>
  <si>
    <t>Chef de Service CVC et Plomberie</t>
  </si>
  <si>
    <t>0314</t>
  </si>
  <si>
    <t>RABEHANTA Hajatiana</t>
  </si>
  <si>
    <t>RABEHANTA</t>
  </si>
  <si>
    <t>Hajatiana</t>
  </si>
  <si>
    <t>Administrateur Réseaux</t>
  </si>
  <si>
    <t>0315</t>
  </si>
  <si>
    <t>ANDRIANARIMANANA Henintsoa Fitiavana</t>
  </si>
  <si>
    <t>ANDRIANARIMANANA</t>
  </si>
  <si>
    <t>Henintsoa Fitiavana</t>
  </si>
  <si>
    <t>0318</t>
  </si>
  <si>
    <t>RAKOTOZANANY Andrianarisata Rindra Clark</t>
  </si>
  <si>
    <t>RAKOTOZANANY</t>
  </si>
  <si>
    <t>Andrianarisata Rindra Clark</t>
  </si>
  <si>
    <t>Chef de Service Bâtiment et Infrastructures</t>
  </si>
  <si>
    <t>0319</t>
  </si>
  <si>
    <t>RAKOTOMALALA Andriantsilavina</t>
  </si>
  <si>
    <t xml:space="preserve">RAKOTOMALALA </t>
  </si>
  <si>
    <t>Andriantsilavina</t>
  </si>
  <si>
    <t>Responsable Courants Faibles</t>
  </si>
  <si>
    <t>0322</t>
  </si>
  <si>
    <t>ANDRIANIAINA Fandresena Vatosoa Anouëla</t>
  </si>
  <si>
    <t>ANDRIANIAINA</t>
  </si>
  <si>
    <t>Fandresena Vatosoa Anouëla</t>
  </si>
  <si>
    <t>0323</t>
  </si>
  <si>
    <t>RABEMANANTSOA Sahaza Manoa</t>
  </si>
  <si>
    <t>RABEMANANTSOA</t>
  </si>
  <si>
    <t>Sahaza Manoa</t>
  </si>
  <si>
    <t>0324</t>
  </si>
  <si>
    <t>ANDRIANOMENJANAHARY Nantenaina Mielle</t>
  </si>
  <si>
    <t>ANDRIANOMENJANAHARY</t>
  </si>
  <si>
    <t>Nantenaina Mielle</t>
  </si>
  <si>
    <t>0325</t>
  </si>
  <si>
    <t>RAKOTOFIRINGA Famenontsoa Sandra</t>
  </si>
  <si>
    <t>RAKOTOFIRINGA</t>
  </si>
  <si>
    <t>Famenontsoa Sandra</t>
  </si>
  <si>
    <t>0326</t>
  </si>
  <si>
    <t>SAHALASOA Rahantamahatsangy</t>
  </si>
  <si>
    <t>SAHALASOA</t>
  </si>
  <si>
    <t>Rahantamahatsangy</t>
  </si>
  <si>
    <t>0327</t>
  </si>
  <si>
    <t>ROSS Jessica Santatriniaina</t>
  </si>
  <si>
    <t>ROSS</t>
  </si>
  <si>
    <t>Jessica Santatriniaina</t>
  </si>
  <si>
    <t>0328</t>
  </si>
  <si>
    <t>MEVA SOLO Toany</t>
  </si>
  <si>
    <t>MEVA SOLO</t>
  </si>
  <si>
    <t>Toany</t>
  </si>
  <si>
    <t>0329</t>
  </si>
  <si>
    <t>RANJALAHY Mandimby Harivola</t>
  </si>
  <si>
    <t>RANJALAHY</t>
  </si>
  <si>
    <t>Mandimby Harivola</t>
  </si>
  <si>
    <t>Electromécanicien</t>
  </si>
  <si>
    <t>0330</t>
  </si>
  <si>
    <t>FIDIMANANTSOA Linda Lai</t>
  </si>
  <si>
    <t>FIDIMANANTSOA</t>
  </si>
  <si>
    <t>Linda Lai</t>
  </si>
  <si>
    <t>Contrôleuse Financière Junior</t>
  </si>
  <si>
    <t>0331</t>
  </si>
  <si>
    <t>RAZAFINDRAMANITRA Henintsoa Hariniaina</t>
  </si>
  <si>
    <t>RAZAFINDRAMANITRA</t>
  </si>
  <si>
    <t>Henintsoa Hariniaina</t>
  </si>
  <si>
    <t>0333</t>
  </si>
  <si>
    <t>RAJOHNSON Dina Mickaël</t>
  </si>
  <si>
    <t>Dina Mickaël</t>
  </si>
  <si>
    <t>Contrôleur Financier Senior</t>
  </si>
  <si>
    <t>CONTRÔLE FINANCIER ET REPORTING</t>
  </si>
  <si>
    <t>0334</t>
  </si>
  <si>
    <t>PETIT Caroline Nelly</t>
  </si>
  <si>
    <t>PETIT</t>
  </si>
  <si>
    <t>Caroline Nelly</t>
  </si>
  <si>
    <t>Directrice des Opérations</t>
  </si>
  <si>
    <t>EXP</t>
  </si>
  <si>
    <t>0338</t>
  </si>
  <si>
    <t>RANDRIAMANANTENASOA Andry</t>
  </si>
  <si>
    <t>RANDRIAMANANTENASOA</t>
  </si>
  <si>
    <t>Andry</t>
  </si>
  <si>
    <t>Responsable des Applications IT</t>
  </si>
  <si>
    <t>0339</t>
  </si>
  <si>
    <t>RANDRIANIRINA François Manantsoa</t>
  </si>
  <si>
    <t>RANDRIANIRINA</t>
  </si>
  <si>
    <t>François Manantsoa</t>
  </si>
  <si>
    <t>Technicien Paie</t>
  </si>
  <si>
    <t>0340</t>
  </si>
  <si>
    <t>ANDRIAMORASATA Ginot Franck</t>
  </si>
  <si>
    <t>ANDRIAMORASATA</t>
  </si>
  <si>
    <t>Ginot Franck</t>
  </si>
  <si>
    <t>Agent Polyvalent Maintenance</t>
  </si>
  <si>
    <t>0342</t>
  </si>
  <si>
    <t>MUTINELLI-SZYMANSKI Valentin</t>
  </si>
  <si>
    <t>MUTINELLI-SZYMANSKI</t>
  </si>
  <si>
    <t>Valentin</t>
  </si>
  <si>
    <t>Directeur Administratif et Financier</t>
  </si>
  <si>
    <t>0343</t>
  </si>
  <si>
    <t>TOMBO Damien Jaquinot</t>
  </si>
  <si>
    <t>Damien Jaquinot</t>
  </si>
  <si>
    <t>Conducteur d'engins</t>
  </si>
  <si>
    <t>0344</t>
  </si>
  <si>
    <t>COFFINIER Julien Pierre</t>
  </si>
  <si>
    <t>COFFINIER</t>
  </si>
  <si>
    <t>Julien Pierre</t>
  </si>
  <si>
    <t>Directeur Général</t>
  </si>
  <si>
    <t>C14</t>
  </si>
  <si>
    <t>0346</t>
  </si>
  <si>
    <t>ANDRIAMBOAVONJY Nanja Hélèna</t>
  </si>
  <si>
    <t>ANDRIAMBOAVONJY</t>
  </si>
  <si>
    <t>Nanja Hélèna</t>
  </si>
  <si>
    <t>0347</t>
  </si>
  <si>
    <t>RASAMISON Haja Minohery</t>
  </si>
  <si>
    <t>RASAMISON</t>
  </si>
  <si>
    <t>Haja Minohery</t>
  </si>
  <si>
    <t>Technicien de Support sur site</t>
  </si>
  <si>
    <t>0348</t>
  </si>
  <si>
    <t>RAKOTOMANDIMBY Andrianina Luc</t>
  </si>
  <si>
    <t>RAKOTOMANDIMBY</t>
  </si>
  <si>
    <t>Andrianina Luc</t>
  </si>
  <si>
    <t>Chef de Département Méthode - Documentation et Suivi sous-traitants</t>
  </si>
  <si>
    <t>0349</t>
  </si>
  <si>
    <t>TRION Aina Mahaitia Elia Michel</t>
  </si>
  <si>
    <t>TRION</t>
  </si>
  <si>
    <t>Aina Mahaitia Elia Michel</t>
  </si>
  <si>
    <t>0350</t>
  </si>
  <si>
    <t>ANDRIAMAHOLY Fanirisoa Narindra</t>
  </si>
  <si>
    <t>ANDRIAMAHOLY</t>
  </si>
  <si>
    <t>Fanirisoa Narindra</t>
  </si>
  <si>
    <t>Responsable Etudes</t>
  </si>
  <si>
    <t>0353</t>
  </si>
  <si>
    <t>RABENIARY Herivola Jason</t>
  </si>
  <si>
    <t>RABENIARY</t>
  </si>
  <si>
    <t>Herivola Jason</t>
  </si>
  <si>
    <t>Chargé de Communication Digitale</t>
  </si>
  <si>
    <t>0354</t>
  </si>
  <si>
    <t>RAKOTONDRASOA Tefiniaina Tahina</t>
  </si>
  <si>
    <t>RAKOTONDRASOA</t>
  </si>
  <si>
    <t>Tefiniaina Tahina</t>
  </si>
  <si>
    <t>Directeur Juridique et Assurances</t>
  </si>
  <si>
    <t>0356</t>
  </si>
  <si>
    <t>RAHARIVELO Mialy</t>
  </si>
  <si>
    <t>RAHARIVELO</t>
  </si>
  <si>
    <t>Mialy</t>
  </si>
  <si>
    <t>Facturière Extra Aéroportuaire</t>
  </si>
  <si>
    <t>0358</t>
  </si>
  <si>
    <t>RASOLOFONDRAMANAMBE</t>
  </si>
  <si>
    <t>Herinomenjanaharilala Sedera</t>
  </si>
  <si>
    <t>Chef de Département Développement RH</t>
  </si>
  <si>
    <t>0359</t>
  </si>
  <si>
    <t>ANDRIANASOLO Niaina Hasina</t>
  </si>
  <si>
    <t>Niaina Hasina</t>
  </si>
  <si>
    <t>0360</t>
  </si>
  <si>
    <t>RAMAROJAONA Sitraka David</t>
  </si>
  <si>
    <t>RAMAROJAONA</t>
  </si>
  <si>
    <t>Sitraka David</t>
  </si>
  <si>
    <t>0361</t>
  </si>
  <si>
    <t>RAZAFINDRAKOTO Maminiaina Elysé</t>
  </si>
  <si>
    <t>Maminiaina Elysé</t>
  </si>
  <si>
    <t>0362</t>
  </si>
  <si>
    <t>RAVELOMANANTSOA Mikaela</t>
  </si>
  <si>
    <t>RAVELOMANANTSOA</t>
  </si>
  <si>
    <t>Mikaela</t>
  </si>
  <si>
    <t>0364</t>
  </si>
  <si>
    <t>RAMAROSON Andrianina Mihajarivony</t>
  </si>
  <si>
    <t>RAMAROSON</t>
  </si>
  <si>
    <t>Andrianina Mihajarivony</t>
  </si>
  <si>
    <t>Assistant Juridique et Assurances</t>
  </si>
  <si>
    <t>0366</t>
  </si>
  <si>
    <t>SOLOHERINJATOVO Menja Joël</t>
  </si>
  <si>
    <t>SOLOHERINJATOVO</t>
  </si>
  <si>
    <t>Menja Joël</t>
  </si>
  <si>
    <t>Assistant Exécutif</t>
  </si>
  <si>
    <t>0367</t>
  </si>
  <si>
    <t>RAZAFIMANANTSOA-RANTO Mialy Ny Aina</t>
  </si>
  <si>
    <t>RAZAFIMANANTSOA-RANTO</t>
  </si>
  <si>
    <t>Mialy Ny Aina</t>
  </si>
  <si>
    <t>Responsable Recrutement et Formation</t>
  </si>
  <si>
    <t>0369</t>
  </si>
  <si>
    <t>RANDRIANIRINAMIFIDIMANANTSOA Jean Dieudonné</t>
  </si>
  <si>
    <t>RANDRIANIRINAMIFIDIMANANTSOA</t>
  </si>
  <si>
    <t>Jean Dieudonné</t>
  </si>
  <si>
    <t>Conseiller de la Direction Générale - Relations Institutionnelles, Sécurité et Sûreté</t>
  </si>
  <si>
    <t>DIRECTION GENERALE</t>
  </si>
  <si>
    <t>0370</t>
  </si>
  <si>
    <t>ANDRIAMANANTENASOA Nadya</t>
  </si>
  <si>
    <t>ANDRIAMANANTENASOA</t>
  </si>
  <si>
    <t>Nadya</t>
  </si>
  <si>
    <t>Caissière</t>
  </si>
  <si>
    <t>0371</t>
  </si>
  <si>
    <t>RAJOELINA Andry Natolotra</t>
  </si>
  <si>
    <t>RAJOELINA</t>
  </si>
  <si>
    <t>Andry Natolotra</t>
  </si>
  <si>
    <t>Chef de Département Technique</t>
  </si>
  <si>
    <t>0372</t>
  </si>
  <si>
    <t>ESSOMBA NDONG Martial Guy Dieudonné</t>
  </si>
  <si>
    <t>ESSOMBA NDONG</t>
  </si>
  <si>
    <t>Martial Guy Dieudonné</t>
  </si>
  <si>
    <t>Ingénieur d'Exploitation</t>
  </si>
  <si>
    <t>Moyen de transport :</t>
  </si>
  <si>
    <t>= Application.WorksheetFunction.</t>
  </si>
  <si>
    <t>=SIERREUR(INDEX(BD!$C$2:$C$1000;EQUIV($C$9;BD!$B$2:$B$1000;0));"")</t>
  </si>
  <si>
    <t>Mle</t>
  </si>
  <si>
    <t>Fonction</t>
  </si>
  <si>
    <t>Cat</t>
  </si>
  <si>
    <t>Site</t>
  </si>
  <si>
    <t>dir</t>
  </si>
  <si>
    <t>ser</t>
  </si>
  <si>
    <t>Catégorie</t>
  </si>
  <si>
    <t>Type</t>
  </si>
  <si>
    <t>Lieu de Mission</t>
  </si>
  <si>
    <t>Hebergement</t>
  </si>
  <si>
    <t>Indemnité de mission</t>
  </si>
  <si>
    <t>Madagascar</t>
  </si>
  <si>
    <t>Note de Frais</t>
  </si>
  <si>
    <t>Etranger</t>
  </si>
  <si>
    <t>Hébergement</t>
  </si>
  <si>
    <t>Bénéficiaire</t>
  </si>
  <si>
    <t>Matricule</t>
  </si>
  <si>
    <t>Cat. Prof</t>
  </si>
  <si>
    <t>Direction</t>
  </si>
  <si>
    <t>Département/Service</t>
  </si>
  <si>
    <t>Centre de cout</t>
  </si>
  <si>
    <t>Moyen de transport</t>
  </si>
  <si>
    <t>Se rendre à</t>
  </si>
  <si>
    <t>Motif</t>
  </si>
  <si>
    <t>Date départ</t>
  </si>
  <si>
    <t>Heure départ</t>
  </si>
  <si>
    <t>Date retour</t>
  </si>
  <si>
    <t>Heure reotur</t>
  </si>
  <si>
    <t>Nbre jour</t>
  </si>
  <si>
    <t>Notes importantes :</t>
  </si>
  <si>
    <t>L'ordre de mission dûment visé et signé doit être remis au Département Finances et Comptabilité dans les 3 jours ouvrables suivant le retour de mission faute de quoi les indemnités seront déduites sur le prochain salaire car non justifiées.</t>
  </si>
  <si>
    <t>Au cas où la mission est annulée ou reportée à plus d'une semaine, les sommes avancées doivent être remises au Département Finances et Comptabilité.</t>
  </si>
  <si>
    <t>Arrêté le présent état à la somme de :</t>
  </si>
  <si>
    <t>Le Requérant (employé envoyé en mission)</t>
  </si>
  <si>
    <t>Le Directeur de tutelle</t>
  </si>
  <si>
    <t>Le Chef de Département / Service</t>
  </si>
  <si>
    <t>Référence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</si>
</sst>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&quot;h&quot;mm"/>
    <numFmt numFmtId="165" formatCode="0000"/>
    <numFmt numFmtId="166" formatCode="ddd\ dd/mm/yyyy"/>
    <numFmt numFmtId="167" formatCode="[$-40C]d\-mmm\-yy;@"/>
  </numFmts>
  <fonts count="31" x14ac:knownFonts="1">
    <font>
      <sz val="9"/>
      <name val="Tahoma"/>
    </font>
    <font>
      <sz val="8"/>
      <name val="Tahoma"/>
      <family val="2"/>
    </font>
    <font>
      <sz val="9"/>
      <name val="Century Gothic"/>
      <family val="2"/>
    </font>
    <font>
      <b/>
      <sz val="11"/>
      <name val="Century Gothic"/>
      <family val="2"/>
    </font>
    <font>
      <b/>
      <i/>
      <sz val="10"/>
      <name val="Century Gothic"/>
      <family val="2"/>
    </font>
    <font>
      <b/>
      <sz val="10"/>
      <name val="Century Gothic"/>
      <family val="2"/>
    </font>
    <font>
      <sz val="8"/>
      <color indexed="8"/>
      <name val="Century Gothic"/>
      <family val="2"/>
    </font>
    <font>
      <b/>
      <sz val="32"/>
      <color theme="1"/>
      <name val="Century Gothic"/>
      <family val="2"/>
    </font>
    <font>
      <b/>
      <sz val="11"/>
      <color theme="1"/>
      <name val="Century Gothic"/>
      <family val="2"/>
    </font>
    <font>
      <sz val="12"/>
      <color theme="1"/>
      <name val="Century Gothic"/>
      <family val="2"/>
    </font>
    <font>
      <b/>
      <sz val="12"/>
      <color theme="1"/>
      <name val="Century Gothic"/>
      <family val="2"/>
    </font>
    <font>
      <b/>
      <sz val="26"/>
      <color theme="1"/>
      <name val="Century Gothic"/>
      <family val="2"/>
    </font>
    <font>
      <sz val="14"/>
      <name val="Century Gothic"/>
      <family val="2"/>
    </font>
    <font>
      <b/>
      <sz val="18"/>
      <color rgb="FF002060"/>
      <name val="Century Gothic"/>
      <family val="2"/>
    </font>
    <font>
      <sz val="18"/>
      <color rgb="FF002060"/>
      <name val="Century Gothic"/>
      <family val="2"/>
    </font>
    <font>
      <sz val="18"/>
      <name val="Century Gothic"/>
      <family val="2"/>
    </font>
    <font>
      <b/>
      <sz val="18"/>
      <color theme="1"/>
      <name val="Century Gothic"/>
      <family val="2"/>
    </font>
    <font>
      <sz val="18"/>
      <color theme="1"/>
      <name val="Century Gothic"/>
      <family val="2"/>
    </font>
    <font>
      <b/>
      <i/>
      <sz val="18"/>
      <color rgb="FF002060"/>
      <name val="Century Gothic"/>
      <family val="2"/>
    </font>
    <font>
      <sz val="9"/>
      <name val="Tahoma"/>
      <family val="2"/>
    </font>
    <font>
      <sz val="11"/>
      <name val="Century Gothic"/>
      <family val="2"/>
    </font>
    <font>
      <sz val="11"/>
      <color indexed="8"/>
      <name val="Century Gothic"/>
      <family val="2"/>
    </font>
    <font>
      <sz val="12"/>
      <name val="Century Gothic"/>
      <family val="2"/>
    </font>
    <font>
      <b/>
      <u/>
      <sz val="16"/>
      <color theme="1"/>
      <name val="Calibri"/>
      <family val="2"/>
      <scheme val="minor"/>
    </font>
    <font>
      <b/>
      <u/>
      <sz val="12"/>
      <color theme="1"/>
      <name val="Century Gothic"/>
      <family val="2"/>
    </font>
    <font>
      <b/>
      <sz val="11"/>
      <color rgb="FFFF0000"/>
      <name val="Century Gothic"/>
      <family val="2"/>
    </font>
    <font>
      <b/>
      <sz val="18"/>
      <color rgb="FFFF0000"/>
      <name val="Century Gothic"/>
      <family val="2"/>
    </font>
    <font>
      <b/>
      <sz val="14"/>
      <color rgb="FF002060"/>
      <name val="Century Gothic"/>
      <family val="2"/>
    </font>
    <font>
      <b/>
      <sz val="14"/>
      <name val="Century Gothic"/>
      <family val="2"/>
    </font>
    <font>
      <sz val="9"/>
      <color rgb="FF0070C0"/>
      <name val="Tahoma"/>
      <family val="2"/>
    </font>
    <font>
      <b/>
      <u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BFAFF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/>
      <top style="thin">
        <color rgb="FF969696"/>
      </top>
      <bottom/>
      <diagonal/>
    </border>
    <border>
      <left/>
      <right/>
      <top style="thin">
        <color rgb="FF969696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2" fillId="0" borderId="0" xfId="0" applyFont="1"/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 indent="4"/>
    </xf>
    <xf numFmtId="4" fontId="2" fillId="0" borderId="0" xfId="0" applyNumberFormat="1" applyFont="1"/>
    <xf numFmtId="0" fontId="10" fillId="0" borderId="0" xfId="0" applyFont="1"/>
    <xf numFmtId="0" fontId="5" fillId="0" borderId="0" xfId="0" applyFont="1" applyAlignment="1">
      <alignment horizontal="left" vertical="center"/>
    </xf>
    <xf numFmtId="0" fontId="2" fillId="3" borderId="0" xfId="0" applyFont="1" applyFill="1"/>
    <xf numFmtId="0" fontId="2" fillId="0" borderId="0" xfId="0" quotePrefix="1" applyFont="1"/>
    <xf numFmtId="0" fontId="6" fillId="0" borderId="0" xfId="0" applyFont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14" fontId="0" fillId="4" borderId="0" xfId="0" applyNumberForma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vertical="center"/>
    </xf>
    <xf numFmtId="0" fontId="2" fillId="0" borderId="0" xfId="0" applyFont="1" applyAlignment="1">
      <alignment horizontal="left"/>
    </xf>
    <xf numFmtId="3" fontId="0" fillId="0" borderId="0" xfId="0" applyNumberFormat="1"/>
    <xf numFmtId="0" fontId="12" fillId="3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0" borderId="9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19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20" fillId="0" borderId="0" xfId="0" applyFont="1"/>
    <xf numFmtId="0" fontId="20" fillId="0" borderId="0" xfId="0" applyFont="1" applyAlignment="1">
      <alignment vertical="center"/>
    </xf>
    <xf numFmtId="0" fontId="21" fillId="0" borderId="0" xfId="0" applyFont="1"/>
    <xf numFmtId="0" fontId="22" fillId="0" borderId="0" xfId="0" applyFont="1" applyAlignment="1">
      <alignment vertical="top"/>
    </xf>
    <xf numFmtId="0" fontId="22" fillId="0" borderId="0" xfId="0" applyFont="1"/>
    <xf numFmtId="0" fontId="22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0" fontId="24" fillId="0" borderId="0" xfId="0" applyFont="1"/>
    <xf numFmtId="0" fontId="22" fillId="3" borderId="0" xfId="0" applyFont="1" applyFill="1"/>
    <xf numFmtId="0" fontId="25" fillId="0" borderId="0" xfId="0" applyFont="1" applyAlignment="1">
      <alignment horizontal="right" vertical="center"/>
    </xf>
    <xf numFmtId="4" fontId="17" fillId="0" borderId="9" xfId="0" applyNumberFormat="1" applyFont="1" applyBorder="1" applyAlignment="1">
      <alignment horizontal="right" vertical="center"/>
    </xf>
    <xf numFmtId="167" fontId="17" fillId="0" borderId="9" xfId="0" applyNumberFormat="1" applyFont="1" applyBorder="1" applyAlignment="1">
      <alignment horizontal="center"/>
    </xf>
    <xf numFmtId="166" fontId="27" fillId="2" borderId="4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/>
    <xf numFmtId="164" fontId="27" fillId="2" borderId="4" xfId="0" applyNumberFormat="1" applyFont="1" applyFill="1" applyBorder="1" applyAlignment="1" applyProtection="1">
      <alignment horizontal="center" vertical="center"/>
      <protection hidden="1"/>
    </xf>
    <xf numFmtId="0" fontId="28" fillId="0" borderId="0" xfId="0" applyFont="1"/>
    <xf numFmtId="0" fontId="29" fillId="5" borderId="0" xfId="0" applyFont="1" applyFill="1" applyAlignment="1">
      <alignment horizontal="center" vertical="center"/>
    </xf>
    <xf numFmtId="3" fontId="29" fillId="5" borderId="0" xfId="0" applyNumberFormat="1" applyFont="1" applyFill="1" applyAlignment="1">
      <alignment horizontal="center" vertical="center"/>
    </xf>
    <xf numFmtId="0" fontId="29" fillId="0" borderId="0" xfId="0" applyFont="1"/>
    <xf numFmtId="0" fontId="30" fillId="0" borderId="0" xfId="0" applyFont="1" applyAlignment="1">
      <alignment horizontal="left" vertical="center"/>
    </xf>
    <xf numFmtId="0" fontId="4" fillId="0" borderId="0" xfId="0" quotePrefix="1" applyFont="1" applyAlignment="1">
      <alignment horizontal="left" vertical="center" wrapText="1"/>
    </xf>
    <xf numFmtId="4" fontId="17" fillId="0" borderId="6" xfId="0" applyNumberFormat="1" applyFont="1" applyBorder="1" applyAlignment="1">
      <alignment horizontal="right" vertical="center"/>
    </xf>
    <xf numFmtId="4" fontId="17" fillId="0" borderId="8" xfId="0" applyNumberFormat="1" applyFont="1" applyBorder="1" applyAlignment="1">
      <alignment horizontal="right" vertical="center"/>
    </xf>
    <xf numFmtId="14" fontId="18" fillId="7" borderId="4" xfId="0" applyNumberFormat="1" applyFont="1" applyFill="1" applyBorder="1" applyAlignment="1" applyProtection="1">
      <alignment horizontal="left" vertical="center"/>
      <protection hidden="1"/>
    </xf>
    <xf numFmtId="14" fontId="18" fillId="7" borderId="5" xfId="0" applyNumberFormat="1" applyFont="1" applyFill="1" applyBorder="1" applyAlignment="1" applyProtection="1">
      <alignment horizontal="left" vertical="center"/>
      <protection hidden="1"/>
    </xf>
    <xf numFmtId="14" fontId="13" fillId="2" borderId="4" xfId="0" applyNumberFormat="1" applyFont="1" applyFill="1" applyBorder="1" applyAlignment="1" applyProtection="1">
      <alignment horizontal="left" vertical="center"/>
      <protection hidden="1"/>
    </xf>
    <xf numFmtId="14" fontId="13" fillId="2" borderId="5" xfId="0" applyNumberFormat="1" applyFont="1" applyFill="1" applyBorder="1" applyAlignment="1" applyProtection="1">
      <alignment horizontal="left" vertical="center"/>
      <protection hidden="1"/>
    </xf>
    <xf numFmtId="0" fontId="16" fillId="6" borderId="6" xfId="0" applyFon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/>
    </xf>
    <xf numFmtId="14" fontId="14" fillId="2" borderId="4" xfId="0" applyNumberFormat="1" applyFont="1" applyFill="1" applyBorder="1" applyAlignment="1" applyProtection="1">
      <alignment horizontal="left" vertical="center"/>
      <protection hidden="1"/>
    </xf>
    <xf numFmtId="14" fontId="14" fillId="2" borderId="5" xfId="0" applyNumberFormat="1" applyFont="1" applyFill="1" applyBorder="1" applyAlignment="1" applyProtection="1">
      <alignment horizontal="left" vertical="center"/>
      <protection hidden="1"/>
    </xf>
    <xf numFmtId="0" fontId="13" fillId="2" borderId="4" xfId="0" applyFont="1" applyFill="1" applyBorder="1" applyAlignment="1" applyProtection="1">
      <alignment horizontal="left" vertical="center"/>
      <protection hidden="1"/>
    </xf>
    <xf numFmtId="0" fontId="13" fillId="2" borderId="5" xfId="0" applyFont="1" applyFill="1" applyBorder="1" applyAlignment="1" applyProtection="1">
      <alignment horizontal="left" vertical="center"/>
      <protection hidden="1"/>
    </xf>
    <xf numFmtId="4" fontId="16" fillId="6" borderId="6" xfId="0" applyNumberFormat="1" applyFont="1" applyFill="1" applyBorder="1" applyAlignment="1">
      <alignment horizontal="right" vertical="center"/>
    </xf>
    <xf numFmtId="4" fontId="16" fillId="6" borderId="8" xfId="0" applyNumberFormat="1" applyFont="1" applyFill="1" applyBorder="1" applyAlignment="1">
      <alignment horizontal="right" vertical="center"/>
    </xf>
    <xf numFmtId="4" fontId="16" fillId="0" borderId="6" xfId="0" applyNumberFormat="1" applyFont="1" applyBorder="1" applyAlignment="1">
      <alignment horizontal="right" vertical="center"/>
    </xf>
    <xf numFmtId="4" fontId="16" fillId="0" borderId="8" xfId="0" applyNumberFormat="1" applyFont="1" applyBorder="1" applyAlignment="1">
      <alignment horizontal="right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5" fontId="13" fillId="2" borderId="4" xfId="0" applyNumberFormat="1" applyFont="1" applyFill="1" applyBorder="1" applyAlignment="1" applyProtection="1">
      <alignment horizontal="left" vertical="center"/>
      <protection hidden="1"/>
    </xf>
    <xf numFmtId="165" fontId="13" fillId="2" borderId="5" xfId="0" applyNumberFormat="1" applyFont="1" applyFill="1" applyBorder="1" applyAlignment="1" applyProtection="1">
      <alignment horizontal="left" vertical="center"/>
      <protection hidden="1"/>
    </xf>
    <xf numFmtId="165" fontId="26" fillId="0" borderId="0" xfId="0" applyNumberFormat="1" applyFont="1" applyAlignment="1" applyProtection="1">
      <alignment horizontal="left" vertical="center"/>
      <protection hidden="1"/>
    </xf>
    <xf numFmtId="14" fontId="14" fillId="2" borderId="4" xfId="0" applyNumberFormat="1" applyFont="1" applyFill="1" applyBorder="1" applyAlignment="1" applyProtection="1">
      <alignment horizontal="left" vertical="top"/>
      <protection hidden="1"/>
    </xf>
    <xf numFmtId="14" fontId="14" fillId="2" borderId="5" xfId="0" applyNumberFormat="1" applyFont="1" applyFill="1" applyBorder="1" applyAlignment="1" applyProtection="1">
      <alignment horizontal="left" vertical="top"/>
      <protection hidden="1"/>
    </xf>
    <xf numFmtId="0" fontId="15" fillId="2" borderId="10" xfId="0" applyFont="1" applyFill="1" applyBorder="1" applyAlignment="1">
      <alignment horizontal="left" vertical="top" wrapText="1"/>
    </xf>
    <xf numFmtId="0" fontId="15" fillId="2" borderId="11" xfId="0" applyFont="1" applyFill="1" applyBorder="1" applyAlignment="1">
      <alignment horizontal="left" vertical="top" wrapText="1"/>
    </xf>
    <xf numFmtId="0" fontId="14" fillId="2" borderId="4" xfId="0" applyFont="1" applyFill="1" applyBorder="1" applyAlignment="1" applyProtection="1">
      <alignment horizontal="left" vertical="center"/>
      <protection hidden="1"/>
    </xf>
    <xf numFmtId="0" fontId="14" fillId="2" borderId="5" xfId="0" applyFont="1" applyFill="1" applyBorder="1" applyAlignment="1" applyProtection="1">
      <alignment horizontal="left" vertical="center"/>
      <protection hidden="1"/>
    </xf>
  </cellXfs>
  <cellStyles count="1">
    <cellStyle name="Normal" xfId="0" builtinId="0"/>
  </cellStyles>
  <dxfs count="0"/>
  <tableStyles count="1" defaultTableStyle="TableStyleMedium9">
    <tableStyle name="Invisible" pivot="0" table="0" count="0" xr9:uid="{B380B58E-6240-41EF-9BCF-62FFBACE21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99060</xdr:rowOff>
        </xdr:from>
        <xdr:to>
          <xdr:col>7</xdr:col>
          <xdr:colOff>411480</xdr:colOff>
          <xdr:row>7</xdr:row>
          <xdr:rowOff>60960</xdr:rowOff>
        </xdr:to>
        <xdr:sp macro="" textlink="">
          <xdr:nvSpPr>
            <xdr:cNvPr id="1121" name="ComboBox1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134470</xdr:colOff>
      <xdr:row>0</xdr:row>
      <xdr:rowOff>120606</xdr:rowOff>
    </xdr:from>
    <xdr:to>
      <xdr:col>1</xdr:col>
      <xdr:colOff>1180427</xdr:colOff>
      <xdr:row>5</xdr:row>
      <xdr:rowOff>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D32F819D-DF08-4DE2-8048-099D474A9287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470" y="120606"/>
          <a:ext cx="1404545" cy="1108232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145472</xdr:colOff>
      <xdr:row>6</xdr:row>
      <xdr:rowOff>34637</xdr:rowOff>
    </xdr:from>
    <xdr:to>
      <xdr:col>25</xdr:col>
      <xdr:colOff>17199</xdr:colOff>
      <xdr:row>12</xdr:row>
      <xdr:rowOff>173182</xdr:rowOff>
    </xdr:to>
    <xdr:pic macro="[0]!Rectangleàcoinsarrondis1_Cliquer">
      <xdr:nvPicPr>
        <xdr:cNvPr id="5" name="Image 4" descr="ACTUALISER REFRESH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82699" y="1593273"/>
          <a:ext cx="1326455" cy="131618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>
              <a:solidFill>
                <a:srgbClr xmlns:mc="http://schemas.openxmlformats.org/markup-compatibility/2006" val="000000" mc:Ignorable="a14" a14:legacySpreadsheetColorIndex="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xmlns:mc="http://schemas.openxmlformats.org/markup-compatibility/2006" val="000000" mc:Ignorable="a14" a14:legacySpreadsheetColorIndex="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23</xdr:col>
      <xdr:colOff>34637</xdr:colOff>
      <xdr:row>1</xdr:row>
      <xdr:rowOff>0</xdr:rowOff>
    </xdr:from>
    <xdr:to>
      <xdr:col>24</xdr:col>
      <xdr:colOff>660169</xdr:colOff>
      <xdr:row>5</xdr:row>
      <xdr:rowOff>173182</xdr:rowOff>
    </xdr:to>
    <xdr:pic macro="[0]!Image3_Cliquer"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</a:blip>
        <a:stretch>
          <a:fillRect/>
        </a:stretch>
      </xdr:blipFill>
      <xdr:spPr>
        <a:xfrm>
          <a:off x="13871864" y="207818"/>
          <a:ext cx="1368135" cy="13161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Feuil3"/>
  <dimension ref="A1:R252"/>
  <sheetViews>
    <sheetView zoomScalePageLayoutView="125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Q1" sqref="A1:Q65536"/>
    </sheetView>
  </sheetViews>
  <sheetFormatPr baseColWidth="10" defaultColWidth="11.375" defaultRowHeight="11.4" x14ac:dyDescent="0.2"/>
  <cols>
    <col min="1" max="1" width="10.125" style="18" bestFit="1" customWidth="1"/>
    <col min="2" max="2" width="48.125" style="17" bestFit="1" customWidth="1"/>
    <col min="3" max="3" width="11.125" style="18" bestFit="1" customWidth="1"/>
    <col min="4" max="4" width="29.625" style="17" bestFit="1" customWidth="1"/>
    <col min="5" max="5" width="23.875" style="17" bestFit="1" customWidth="1"/>
    <col min="6" max="6" width="48.125" style="17" bestFit="1" customWidth="1"/>
    <col min="7" max="7" width="16.375" style="19" bestFit="1" customWidth="1"/>
    <col min="8" max="8" width="17.125" style="17" bestFit="1" customWidth="1"/>
    <col min="9" max="9" width="65.875" style="17" bestFit="1" customWidth="1"/>
    <col min="10" max="10" width="38.75" style="17" bestFit="1" customWidth="1"/>
    <col min="11" max="11" width="10.875" style="17" bestFit="1" customWidth="1"/>
    <col min="12" max="12" width="12.75" style="17" bestFit="1" customWidth="1"/>
    <col min="13" max="13" width="7.25" style="17" bestFit="1" customWidth="1"/>
    <col min="14" max="14" width="13.75" style="17" bestFit="1" customWidth="1"/>
    <col min="15" max="15" width="4.75" style="17" bestFit="1" customWidth="1"/>
    <col min="16" max="16" width="7.75" style="17" bestFit="1" customWidth="1"/>
    <col min="17" max="17" width="4.25" style="17" bestFit="1" customWidth="1"/>
    <col min="18" max="18" width="4.125" style="17" bestFit="1" customWidth="1"/>
    <col min="19" max="16384" width="11.375" style="17"/>
  </cols>
  <sheetData>
    <row r="1" spans="1:18" x14ac:dyDescent="0.2">
      <c r="A1" s="14" t="s">
        <v>23</v>
      </c>
      <c r="B1" s="15" t="s">
        <v>24</v>
      </c>
      <c r="C1" s="14" t="s">
        <v>25</v>
      </c>
      <c r="D1" s="15" t="s">
        <v>26</v>
      </c>
      <c r="E1" s="15" t="s">
        <v>27</v>
      </c>
      <c r="F1" s="15" t="s">
        <v>28</v>
      </c>
      <c r="G1" s="16" t="s">
        <v>29</v>
      </c>
      <c r="H1" s="15" t="s">
        <v>30</v>
      </c>
      <c r="I1" s="15" t="s">
        <v>31</v>
      </c>
      <c r="J1" s="15" t="s">
        <v>32</v>
      </c>
      <c r="K1" s="15" t="s">
        <v>33</v>
      </c>
      <c r="L1" s="15" t="s">
        <v>34</v>
      </c>
      <c r="M1" s="15" t="s">
        <v>35</v>
      </c>
      <c r="N1" s="15" t="s">
        <v>36</v>
      </c>
      <c r="O1" s="15" t="s">
        <v>37</v>
      </c>
      <c r="P1" s="15" t="s">
        <v>38</v>
      </c>
      <c r="Q1" s="15" t="s">
        <v>39</v>
      </c>
      <c r="R1" s="15" t="s">
        <v>40</v>
      </c>
    </row>
    <row r="2" spans="1:18" x14ac:dyDescent="0.2">
      <c r="A2" s="18" t="s">
        <v>41</v>
      </c>
      <c r="B2" s="17" t="s">
        <v>42</v>
      </c>
      <c r="C2" s="18" t="s">
        <v>41</v>
      </c>
      <c r="D2" s="17" t="s">
        <v>43</v>
      </c>
      <c r="E2" s="17" t="s">
        <v>44</v>
      </c>
      <c r="F2" s="17" t="s">
        <v>42</v>
      </c>
      <c r="G2" s="19">
        <v>42676</v>
      </c>
      <c r="I2" s="17" t="s">
        <v>45</v>
      </c>
      <c r="J2" s="17" t="s">
        <v>46</v>
      </c>
      <c r="K2" s="17" t="s">
        <v>47</v>
      </c>
      <c r="L2" s="17" t="s">
        <v>48</v>
      </c>
      <c r="M2" s="17" t="s">
        <v>49</v>
      </c>
      <c r="N2" s="17" t="s">
        <v>50</v>
      </c>
      <c r="O2" s="17" t="s">
        <v>51</v>
      </c>
      <c r="P2" s="17" t="s">
        <v>52</v>
      </c>
      <c r="Q2" s="17" t="s">
        <v>53</v>
      </c>
      <c r="R2" s="17">
        <v>6</v>
      </c>
    </row>
    <row r="3" spans="1:18" x14ac:dyDescent="0.2">
      <c r="A3" s="18" t="s">
        <v>54</v>
      </c>
      <c r="B3" s="17" t="s">
        <v>55</v>
      </c>
      <c r="C3" s="18" t="s">
        <v>54</v>
      </c>
      <c r="D3" s="17" t="s">
        <v>56</v>
      </c>
      <c r="E3" s="17" t="s">
        <v>57</v>
      </c>
      <c r="F3" s="17" t="s">
        <v>55</v>
      </c>
      <c r="G3" s="19">
        <v>42676</v>
      </c>
      <c r="I3" s="17" t="s">
        <v>58</v>
      </c>
      <c r="J3" s="17" t="s">
        <v>59</v>
      </c>
      <c r="K3" s="17" t="s">
        <v>60</v>
      </c>
      <c r="L3" s="17" t="s">
        <v>48</v>
      </c>
      <c r="M3" s="17" t="s">
        <v>49</v>
      </c>
      <c r="N3" s="17" t="s">
        <v>50</v>
      </c>
      <c r="O3" s="17" t="s">
        <v>51</v>
      </c>
      <c r="P3" s="17" t="s">
        <v>52</v>
      </c>
      <c r="Q3" s="17" t="s">
        <v>61</v>
      </c>
      <c r="R3" s="17">
        <v>5</v>
      </c>
    </row>
    <row r="4" spans="1:18" x14ac:dyDescent="0.2">
      <c r="A4" s="18" t="s">
        <v>62</v>
      </c>
      <c r="B4" s="17" t="s">
        <v>63</v>
      </c>
      <c r="C4" s="18" t="s">
        <v>62</v>
      </c>
      <c r="D4" s="17" t="s">
        <v>64</v>
      </c>
      <c r="E4" s="17" t="s">
        <v>65</v>
      </c>
      <c r="F4" s="17" t="s">
        <v>63</v>
      </c>
      <c r="G4" s="19">
        <v>42689</v>
      </c>
      <c r="I4" s="17" t="s">
        <v>66</v>
      </c>
      <c r="J4" s="17" t="s">
        <v>67</v>
      </c>
      <c r="K4" s="17" t="s">
        <v>67</v>
      </c>
      <c r="L4" s="17" t="s">
        <v>48</v>
      </c>
      <c r="M4" s="17" t="s">
        <v>49</v>
      </c>
      <c r="N4" s="17" t="s">
        <v>50</v>
      </c>
      <c r="O4" s="17" t="s">
        <v>51</v>
      </c>
      <c r="P4" s="17" t="s">
        <v>68</v>
      </c>
      <c r="Q4" s="17" t="s">
        <v>69</v>
      </c>
      <c r="R4" s="17">
        <v>9</v>
      </c>
    </row>
    <row r="5" spans="1:18" x14ac:dyDescent="0.2">
      <c r="A5" s="18" t="s">
        <v>70</v>
      </c>
      <c r="B5" s="17" t="s">
        <v>71</v>
      </c>
      <c r="C5" s="18" t="s">
        <v>70</v>
      </c>
      <c r="D5" s="17" t="s">
        <v>72</v>
      </c>
      <c r="E5" s="17" t="s">
        <v>73</v>
      </c>
      <c r="F5" s="17" t="s">
        <v>71</v>
      </c>
      <c r="G5" s="19">
        <v>42705</v>
      </c>
      <c r="I5" s="17" t="s">
        <v>74</v>
      </c>
      <c r="J5" s="17" t="s">
        <v>75</v>
      </c>
      <c r="K5" s="17" t="s">
        <v>76</v>
      </c>
      <c r="L5" s="17" t="s">
        <v>48</v>
      </c>
      <c r="M5" s="17" t="s">
        <v>77</v>
      </c>
      <c r="N5" s="17" t="s">
        <v>50</v>
      </c>
      <c r="O5" s="17" t="s">
        <v>51</v>
      </c>
      <c r="P5" s="17" t="s">
        <v>52</v>
      </c>
      <c r="Q5" s="17" t="s">
        <v>78</v>
      </c>
      <c r="R5" s="17">
        <v>3</v>
      </c>
    </row>
    <row r="6" spans="1:18" x14ac:dyDescent="0.2">
      <c r="A6" s="18" t="s">
        <v>79</v>
      </c>
      <c r="B6" s="17" t="s">
        <v>80</v>
      </c>
      <c r="C6" s="18" t="s">
        <v>79</v>
      </c>
      <c r="D6" s="17" t="s">
        <v>81</v>
      </c>
      <c r="E6" s="17" t="s">
        <v>82</v>
      </c>
      <c r="F6" s="17" t="s">
        <v>80</v>
      </c>
      <c r="G6" s="19">
        <v>42705</v>
      </c>
      <c r="I6" s="17" t="s">
        <v>83</v>
      </c>
      <c r="J6" s="17" t="s">
        <v>84</v>
      </c>
      <c r="K6" s="17" t="s">
        <v>67</v>
      </c>
      <c r="L6" s="17" t="s">
        <v>48</v>
      </c>
      <c r="M6" s="17" t="s">
        <v>49</v>
      </c>
      <c r="N6" s="17" t="s">
        <v>50</v>
      </c>
      <c r="O6" s="17" t="s">
        <v>51</v>
      </c>
      <c r="P6" s="17" t="s">
        <v>68</v>
      </c>
      <c r="Q6" s="17" t="s">
        <v>69</v>
      </c>
      <c r="R6" s="17">
        <v>10</v>
      </c>
    </row>
    <row r="7" spans="1:18" x14ac:dyDescent="0.2">
      <c r="A7" s="18" t="s">
        <v>85</v>
      </c>
      <c r="B7" s="17" t="s">
        <v>86</v>
      </c>
      <c r="C7" s="18" t="s">
        <v>85</v>
      </c>
      <c r="D7" s="17" t="s">
        <v>87</v>
      </c>
      <c r="E7" s="17" t="s">
        <v>88</v>
      </c>
      <c r="F7" s="17" t="s">
        <v>86</v>
      </c>
      <c r="G7" s="19">
        <v>42705</v>
      </c>
      <c r="I7" s="17" t="s">
        <v>66</v>
      </c>
      <c r="J7" s="17" t="s">
        <v>89</v>
      </c>
      <c r="K7" s="17" t="s">
        <v>89</v>
      </c>
      <c r="L7" s="17" t="s">
        <v>48</v>
      </c>
      <c r="M7" s="17" t="s">
        <v>49</v>
      </c>
      <c r="N7" s="17" t="s">
        <v>50</v>
      </c>
      <c r="O7" s="17" t="s">
        <v>51</v>
      </c>
      <c r="P7" s="17" t="s">
        <v>68</v>
      </c>
      <c r="Q7" s="17" t="s">
        <v>69</v>
      </c>
      <c r="R7" s="17">
        <v>10</v>
      </c>
    </row>
    <row r="8" spans="1:18" x14ac:dyDescent="0.2">
      <c r="A8" s="18" t="s">
        <v>90</v>
      </c>
      <c r="B8" s="17" t="s">
        <v>91</v>
      </c>
      <c r="C8" s="18" t="s">
        <v>90</v>
      </c>
      <c r="D8" s="17" t="s">
        <v>92</v>
      </c>
      <c r="E8" s="17" t="s">
        <v>93</v>
      </c>
      <c r="F8" s="17" t="s">
        <v>91</v>
      </c>
      <c r="G8" s="19">
        <v>42705</v>
      </c>
      <c r="I8" s="17" t="s">
        <v>94</v>
      </c>
      <c r="J8" s="17" t="s">
        <v>95</v>
      </c>
      <c r="K8" s="17" t="s">
        <v>95</v>
      </c>
      <c r="L8" s="17" t="s">
        <v>48</v>
      </c>
      <c r="M8" s="17" t="s">
        <v>49</v>
      </c>
      <c r="N8" s="17" t="s">
        <v>50</v>
      </c>
      <c r="O8" s="17" t="s">
        <v>51</v>
      </c>
      <c r="P8" s="17" t="s">
        <v>68</v>
      </c>
      <c r="Q8" s="17" t="s">
        <v>69</v>
      </c>
      <c r="R8" s="17">
        <v>10</v>
      </c>
    </row>
    <row r="9" spans="1:18" x14ac:dyDescent="0.2">
      <c r="A9" s="18" t="s">
        <v>96</v>
      </c>
      <c r="B9" s="17" t="s">
        <v>97</v>
      </c>
      <c r="C9" s="18" t="s">
        <v>96</v>
      </c>
      <c r="D9" s="17" t="s">
        <v>98</v>
      </c>
      <c r="E9" s="17" t="s">
        <v>99</v>
      </c>
      <c r="F9" s="17" t="s">
        <v>97</v>
      </c>
      <c r="G9" s="19">
        <v>42705</v>
      </c>
      <c r="I9" s="17" t="s">
        <v>100</v>
      </c>
      <c r="J9" s="17" t="s">
        <v>101</v>
      </c>
      <c r="K9" s="17" t="s">
        <v>89</v>
      </c>
      <c r="L9" s="17" t="s">
        <v>48</v>
      </c>
      <c r="M9" s="17" t="s">
        <v>77</v>
      </c>
      <c r="N9" s="17" t="s">
        <v>50</v>
      </c>
      <c r="O9" s="17" t="s">
        <v>51</v>
      </c>
      <c r="P9" s="17" t="s">
        <v>52</v>
      </c>
      <c r="Q9" s="17" t="s">
        <v>61</v>
      </c>
      <c r="R9" s="17">
        <v>2</v>
      </c>
    </row>
    <row r="10" spans="1:18" x14ac:dyDescent="0.2">
      <c r="A10" s="18" t="s">
        <v>102</v>
      </c>
      <c r="B10" s="17" t="s">
        <v>103</v>
      </c>
      <c r="C10" s="18" t="s">
        <v>102</v>
      </c>
      <c r="D10" s="17" t="s">
        <v>104</v>
      </c>
      <c r="E10" s="17" t="s">
        <v>105</v>
      </c>
      <c r="F10" s="17" t="s">
        <v>103</v>
      </c>
      <c r="G10" s="19">
        <v>42716</v>
      </c>
      <c r="I10" s="17" t="s">
        <v>106</v>
      </c>
      <c r="J10" s="17" t="s">
        <v>107</v>
      </c>
      <c r="K10" s="17" t="s">
        <v>67</v>
      </c>
      <c r="L10" s="17" t="s">
        <v>48</v>
      </c>
      <c r="M10" s="17" t="s">
        <v>49</v>
      </c>
      <c r="N10" s="17" t="s">
        <v>50</v>
      </c>
      <c r="O10" s="17" t="s">
        <v>51</v>
      </c>
      <c r="P10" s="17" t="s">
        <v>68</v>
      </c>
      <c r="Q10" s="17" t="s">
        <v>108</v>
      </c>
      <c r="R10" s="17">
        <v>6</v>
      </c>
    </row>
    <row r="11" spans="1:18" x14ac:dyDescent="0.2">
      <c r="A11" s="18" t="s">
        <v>109</v>
      </c>
      <c r="B11" s="17" t="s">
        <v>110</v>
      </c>
      <c r="C11" s="18" t="s">
        <v>109</v>
      </c>
      <c r="D11" s="17" t="s">
        <v>111</v>
      </c>
      <c r="E11" s="17" t="s">
        <v>112</v>
      </c>
      <c r="F11" s="17" t="s">
        <v>110</v>
      </c>
      <c r="G11" s="19">
        <v>42719</v>
      </c>
      <c r="I11" s="17" t="s">
        <v>113</v>
      </c>
      <c r="J11" s="17" t="s">
        <v>114</v>
      </c>
      <c r="K11" s="17" t="s">
        <v>95</v>
      </c>
      <c r="L11" s="17" t="s">
        <v>115</v>
      </c>
      <c r="M11" s="17" t="s">
        <v>49</v>
      </c>
      <c r="N11" s="17" t="s">
        <v>50</v>
      </c>
      <c r="O11" s="17" t="s">
        <v>51</v>
      </c>
      <c r="P11" s="17" t="s">
        <v>68</v>
      </c>
      <c r="Q11" s="17" t="s">
        <v>108</v>
      </c>
      <c r="R11" s="17">
        <v>12</v>
      </c>
    </row>
    <row r="12" spans="1:18" x14ac:dyDescent="0.2">
      <c r="A12" s="18" t="s">
        <v>116</v>
      </c>
      <c r="B12" s="17" t="s">
        <v>117</v>
      </c>
      <c r="C12" s="18" t="s">
        <v>116</v>
      </c>
      <c r="D12" s="17" t="s">
        <v>118</v>
      </c>
      <c r="E12" s="17" t="s">
        <v>119</v>
      </c>
      <c r="F12" s="17" t="s">
        <v>117</v>
      </c>
      <c r="G12" s="19">
        <v>33298</v>
      </c>
      <c r="I12" s="17" t="s">
        <v>120</v>
      </c>
      <c r="J12" s="17" t="s">
        <v>114</v>
      </c>
      <c r="K12" s="17" t="s">
        <v>95</v>
      </c>
      <c r="L12" s="17" t="s">
        <v>115</v>
      </c>
      <c r="M12" s="17" t="s">
        <v>49</v>
      </c>
      <c r="N12" s="17" t="s">
        <v>50</v>
      </c>
      <c r="O12" s="17" t="s">
        <v>51</v>
      </c>
      <c r="P12" s="17" t="s">
        <v>68</v>
      </c>
      <c r="Q12" s="17" t="s">
        <v>121</v>
      </c>
      <c r="R12" s="17">
        <v>13</v>
      </c>
    </row>
    <row r="13" spans="1:18" x14ac:dyDescent="0.2">
      <c r="A13" s="18" t="s">
        <v>122</v>
      </c>
      <c r="B13" s="17" t="s">
        <v>123</v>
      </c>
      <c r="C13" s="18" t="s">
        <v>122</v>
      </c>
      <c r="D13" s="17" t="s">
        <v>124</v>
      </c>
      <c r="E13" s="17" t="s">
        <v>125</v>
      </c>
      <c r="F13" s="17" t="s">
        <v>123</v>
      </c>
      <c r="G13" s="19">
        <v>33298</v>
      </c>
      <c r="I13" s="17" t="s">
        <v>126</v>
      </c>
      <c r="J13" s="17" t="s">
        <v>127</v>
      </c>
      <c r="K13" s="17" t="s">
        <v>67</v>
      </c>
      <c r="L13" s="17" t="s">
        <v>48</v>
      </c>
      <c r="M13" s="17" t="s">
        <v>49</v>
      </c>
      <c r="N13" s="17" t="s">
        <v>50</v>
      </c>
      <c r="O13" s="17" t="s">
        <v>51</v>
      </c>
      <c r="P13" s="17" t="s">
        <v>68</v>
      </c>
      <c r="Q13" s="17" t="s">
        <v>128</v>
      </c>
      <c r="R13" s="17">
        <v>9</v>
      </c>
    </row>
    <row r="14" spans="1:18" x14ac:dyDescent="0.2">
      <c r="A14" s="18" t="s">
        <v>129</v>
      </c>
      <c r="B14" s="17" t="s">
        <v>130</v>
      </c>
      <c r="C14" s="18" t="s">
        <v>129</v>
      </c>
      <c r="D14" s="17" t="s">
        <v>131</v>
      </c>
      <c r="E14" s="17" t="s">
        <v>132</v>
      </c>
      <c r="F14" s="17" t="s">
        <v>130</v>
      </c>
      <c r="G14" s="19">
        <v>33298</v>
      </c>
      <c r="I14" s="17" t="s">
        <v>133</v>
      </c>
      <c r="J14" s="17" t="s">
        <v>114</v>
      </c>
      <c r="K14" s="17" t="s">
        <v>95</v>
      </c>
      <c r="L14" s="17" t="s">
        <v>48</v>
      </c>
      <c r="M14" s="17" t="s">
        <v>77</v>
      </c>
      <c r="N14" s="17" t="s">
        <v>50</v>
      </c>
      <c r="O14" s="17" t="s">
        <v>51</v>
      </c>
      <c r="P14" s="17" t="s">
        <v>68</v>
      </c>
      <c r="Q14" s="17" t="s">
        <v>134</v>
      </c>
      <c r="R14" s="17">
        <v>13</v>
      </c>
    </row>
    <row r="15" spans="1:18" x14ac:dyDescent="0.2">
      <c r="A15" s="18" t="s">
        <v>135</v>
      </c>
      <c r="B15" s="17" t="s">
        <v>136</v>
      </c>
      <c r="C15" s="18" t="s">
        <v>135</v>
      </c>
      <c r="D15" s="17" t="s">
        <v>137</v>
      </c>
      <c r="E15" s="17" t="s">
        <v>138</v>
      </c>
      <c r="F15" s="17" t="s">
        <v>136</v>
      </c>
      <c r="G15" s="19">
        <v>33298</v>
      </c>
      <c r="I15" s="17" t="s">
        <v>139</v>
      </c>
      <c r="J15" s="17" t="s">
        <v>114</v>
      </c>
      <c r="K15" s="17" t="s">
        <v>95</v>
      </c>
      <c r="L15" s="17" t="s">
        <v>115</v>
      </c>
      <c r="M15" s="17" t="s">
        <v>77</v>
      </c>
      <c r="N15" s="17" t="s">
        <v>50</v>
      </c>
      <c r="O15" s="17" t="s">
        <v>51</v>
      </c>
      <c r="P15" s="17" t="s">
        <v>68</v>
      </c>
      <c r="Q15" s="17" t="s">
        <v>140</v>
      </c>
      <c r="R15" s="17">
        <v>2</v>
      </c>
    </row>
    <row r="16" spans="1:18" x14ac:dyDescent="0.2">
      <c r="A16" s="18" t="s">
        <v>141</v>
      </c>
      <c r="B16" s="17" t="s">
        <v>142</v>
      </c>
      <c r="C16" s="18" t="s">
        <v>141</v>
      </c>
      <c r="D16" s="17" t="s">
        <v>143</v>
      </c>
      <c r="E16" s="17" t="s">
        <v>144</v>
      </c>
      <c r="F16" s="17" t="s">
        <v>142</v>
      </c>
      <c r="G16" s="19">
        <v>33298</v>
      </c>
      <c r="I16" s="17" t="s">
        <v>145</v>
      </c>
      <c r="J16" s="17" t="s">
        <v>146</v>
      </c>
      <c r="K16" s="17" t="s">
        <v>95</v>
      </c>
      <c r="L16" s="17" t="s">
        <v>48</v>
      </c>
      <c r="M16" s="17" t="s">
        <v>49</v>
      </c>
      <c r="N16" s="17" t="s">
        <v>50</v>
      </c>
      <c r="O16" s="17" t="s">
        <v>147</v>
      </c>
      <c r="P16" s="17" t="s">
        <v>68</v>
      </c>
      <c r="Q16" s="17" t="s">
        <v>148</v>
      </c>
      <c r="R16" s="17">
        <v>8</v>
      </c>
    </row>
    <row r="17" spans="1:18" x14ac:dyDescent="0.2">
      <c r="A17" s="18" t="s">
        <v>149</v>
      </c>
      <c r="B17" s="17" t="s">
        <v>150</v>
      </c>
      <c r="C17" s="18" t="s">
        <v>149</v>
      </c>
      <c r="D17" s="17" t="s">
        <v>151</v>
      </c>
      <c r="E17" s="17" t="s">
        <v>152</v>
      </c>
      <c r="F17" s="17" t="s">
        <v>150</v>
      </c>
      <c r="G17" s="19">
        <v>33298</v>
      </c>
      <c r="I17" s="17" t="s">
        <v>153</v>
      </c>
      <c r="J17" s="17" t="s">
        <v>114</v>
      </c>
      <c r="K17" s="17" t="s">
        <v>95</v>
      </c>
      <c r="L17" s="17" t="s">
        <v>48</v>
      </c>
      <c r="M17" s="17" t="s">
        <v>77</v>
      </c>
      <c r="N17" s="17" t="s">
        <v>50</v>
      </c>
      <c r="O17" s="17" t="s">
        <v>51</v>
      </c>
      <c r="P17" s="17" t="s">
        <v>68</v>
      </c>
      <c r="Q17" s="17" t="s">
        <v>154</v>
      </c>
      <c r="R17" s="17">
        <v>11</v>
      </c>
    </row>
    <row r="18" spans="1:18" x14ac:dyDescent="0.2">
      <c r="A18" s="18" t="s">
        <v>155</v>
      </c>
      <c r="B18" s="17" t="s">
        <v>156</v>
      </c>
      <c r="C18" s="18" t="s">
        <v>155</v>
      </c>
      <c r="D18" s="17" t="s">
        <v>156</v>
      </c>
      <c r="F18" s="17" t="s">
        <v>156</v>
      </c>
      <c r="G18" s="19">
        <v>33358</v>
      </c>
      <c r="I18" s="17" t="s">
        <v>157</v>
      </c>
      <c r="J18" s="17" t="s">
        <v>114</v>
      </c>
      <c r="K18" s="17" t="s">
        <v>95</v>
      </c>
      <c r="L18" s="17" t="s">
        <v>115</v>
      </c>
      <c r="M18" s="17" t="s">
        <v>49</v>
      </c>
      <c r="N18" s="17" t="s">
        <v>50</v>
      </c>
      <c r="O18" s="17" t="s">
        <v>51</v>
      </c>
      <c r="P18" s="17" t="s">
        <v>52</v>
      </c>
      <c r="Q18" s="17" t="s">
        <v>61</v>
      </c>
      <c r="R18" s="17">
        <v>7</v>
      </c>
    </row>
    <row r="19" spans="1:18" x14ac:dyDescent="0.2">
      <c r="A19" s="18" t="s">
        <v>158</v>
      </c>
      <c r="B19" s="17" t="s">
        <v>159</v>
      </c>
      <c r="C19" s="18" t="s">
        <v>158</v>
      </c>
      <c r="D19" s="17" t="s">
        <v>160</v>
      </c>
      <c r="E19" s="17" t="s">
        <v>161</v>
      </c>
      <c r="F19" s="17" t="s">
        <v>159</v>
      </c>
      <c r="G19" s="19">
        <v>33392</v>
      </c>
      <c r="I19" s="17" t="s">
        <v>162</v>
      </c>
      <c r="J19" s="17" t="s">
        <v>107</v>
      </c>
      <c r="K19" s="17" t="s">
        <v>67</v>
      </c>
      <c r="L19" s="17" t="s">
        <v>115</v>
      </c>
      <c r="M19" s="17" t="s">
        <v>77</v>
      </c>
      <c r="N19" s="17" t="s">
        <v>50</v>
      </c>
      <c r="O19" s="17" t="s">
        <v>51</v>
      </c>
      <c r="P19" s="17" t="s">
        <v>68</v>
      </c>
      <c r="Q19" s="17" t="s">
        <v>148</v>
      </c>
      <c r="R19" s="17">
        <v>8</v>
      </c>
    </row>
    <row r="20" spans="1:18" x14ac:dyDescent="0.2">
      <c r="A20" s="18" t="s">
        <v>163</v>
      </c>
      <c r="B20" s="17" t="s">
        <v>164</v>
      </c>
      <c r="C20" s="18" t="s">
        <v>163</v>
      </c>
      <c r="D20" s="17" t="s">
        <v>165</v>
      </c>
      <c r="E20" s="17" t="s">
        <v>166</v>
      </c>
      <c r="F20" s="17" t="s">
        <v>164</v>
      </c>
      <c r="G20" s="19">
        <v>33611</v>
      </c>
      <c r="I20" s="17" t="s">
        <v>167</v>
      </c>
      <c r="J20" s="17" t="s">
        <v>114</v>
      </c>
      <c r="K20" s="17" t="s">
        <v>95</v>
      </c>
      <c r="L20" s="17" t="s">
        <v>115</v>
      </c>
      <c r="M20" s="17" t="s">
        <v>77</v>
      </c>
      <c r="N20" s="17" t="s">
        <v>50</v>
      </c>
      <c r="O20" s="17" t="s">
        <v>51</v>
      </c>
      <c r="P20" s="17" t="s">
        <v>68</v>
      </c>
      <c r="Q20" s="17" t="s">
        <v>69</v>
      </c>
      <c r="R20" s="17">
        <v>8</v>
      </c>
    </row>
    <row r="21" spans="1:18" x14ac:dyDescent="0.2">
      <c r="A21" s="18" t="s">
        <v>168</v>
      </c>
      <c r="B21" s="17" t="s">
        <v>169</v>
      </c>
      <c r="C21" s="18" t="s">
        <v>168</v>
      </c>
      <c r="D21" s="17" t="s">
        <v>170</v>
      </c>
      <c r="E21" s="17" t="s">
        <v>171</v>
      </c>
      <c r="F21" s="17" t="s">
        <v>169</v>
      </c>
      <c r="G21" s="19">
        <v>33611</v>
      </c>
      <c r="I21" s="17" t="s">
        <v>172</v>
      </c>
      <c r="J21" s="17" t="s">
        <v>114</v>
      </c>
      <c r="K21" s="17" t="s">
        <v>95</v>
      </c>
      <c r="L21" s="17" t="s">
        <v>48</v>
      </c>
      <c r="M21" s="17" t="s">
        <v>77</v>
      </c>
      <c r="N21" s="17" t="s">
        <v>50</v>
      </c>
      <c r="O21" s="17" t="s">
        <v>51</v>
      </c>
      <c r="P21" s="17" t="s">
        <v>68</v>
      </c>
      <c r="Q21" s="17" t="s">
        <v>154</v>
      </c>
      <c r="R21" s="17">
        <v>14</v>
      </c>
    </row>
    <row r="22" spans="1:18" x14ac:dyDescent="0.2">
      <c r="A22" s="18" t="s">
        <v>173</v>
      </c>
      <c r="B22" s="17" t="s">
        <v>174</v>
      </c>
      <c r="C22" s="18" t="s">
        <v>173</v>
      </c>
      <c r="D22" s="17" t="s">
        <v>175</v>
      </c>
      <c r="E22" s="17" t="s">
        <v>176</v>
      </c>
      <c r="F22" s="17" t="s">
        <v>174</v>
      </c>
      <c r="G22" s="19">
        <v>33611</v>
      </c>
      <c r="I22" s="17" t="s">
        <v>153</v>
      </c>
      <c r="J22" s="17" t="s">
        <v>114</v>
      </c>
      <c r="K22" s="17" t="s">
        <v>95</v>
      </c>
      <c r="L22" s="17" t="s">
        <v>115</v>
      </c>
      <c r="M22" s="17" t="s">
        <v>77</v>
      </c>
      <c r="N22" s="17" t="s">
        <v>50</v>
      </c>
      <c r="O22" s="17" t="s">
        <v>51</v>
      </c>
      <c r="P22" s="17" t="s">
        <v>68</v>
      </c>
      <c r="Q22" s="17" t="s">
        <v>154</v>
      </c>
      <c r="R22" s="17">
        <v>16</v>
      </c>
    </row>
    <row r="23" spans="1:18" x14ac:dyDescent="0.2">
      <c r="A23" s="18" t="s">
        <v>177</v>
      </c>
      <c r="B23" s="17" t="s">
        <v>178</v>
      </c>
      <c r="C23" s="18" t="s">
        <v>177</v>
      </c>
      <c r="D23" s="17" t="s">
        <v>179</v>
      </c>
      <c r="E23" s="17" t="s">
        <v>180</v>
      </c>
      <c r="F23" s="17" t="s">
        <v>178</v>
      </c>
      <c r="G23" s="19">
        <v>33611</v>
      </c>
      <c r="I23" s="17" t="s">
        <v>181</v>
      </c>
      <c r="J23" s="17" t="s">
        <v>182</v>
      </c>
      <c r="K23" s="17" t="s">
        <v>89</v>
      </c>
      <c r="L23" s="17" t="s">
        <v>115</v>
      </c>
      <c r="M23" s="17" t="s">
        <v>77</v>
      </c>
      <c r="N23" s="17" t="s">
        <v>50</v>
      </c>
      <c r="O23" s="17" t="s">
        <v>51</v>
      </c>
      <c r="P23" s="17" t="s">
        <v>68</v>
      </c>
      <c r="Q23" s="17" t="s">
        <v>154</v>
      </c>
      <c r="R23" s="17">
        <v>14</v>
      </c>
    </row>
    <row r="24" spans="1:18" x14ac:dyDescent="0.2">
      <c r="A24" s="18" t="s">
        <v>183</v>
      </c>
      <c r="B24" s="17" t="s">
        <v>184</v>
      </c>
      <c r="C24" s="18" t="s">
        <v>183</v>
      </c>
      <c r="D24" s="17" t="s">
        <v>185</v>
      </c>
      <c r="E24" s="17" t="s">
        <v>186</v>
      </c>
      <c r="F24" s="17" t="s">
        <v>184</v>
      </c>
      <c r="G24" s="19">
        <v>33611</v>
      </c>
      <c r="I24" s="17" t="s">
        <v>181</v>
      </c>
      <c r="J24" s="17" t="s">
        <v>182</v>
      </c>
      <c r="K24" s="17" t="s">
        <v>89</v>
      </c>
      <c r="L24" s="17" t="s">
        <v>115</v>
      </c>
      <c r="M24" s="17" t="s">
        <v>77</v>
      </c>
      <c r="N24" s="17" t="s">
        <v>50</v>
      </c>
      <c r="O24" s="17" t="s">
        <v>51</v>
      </c>
      <c r="P24" s="17" t="s">
        <v>68</v>
      </c>
      <c r="Q24" s="17" t="s">
        <v>154</v>
      </c>
      <c r="R24" s="17">
        <v>16</v>
      </c>
    </row>
    <row r="25" spans="1:18" x14ac:dyDescent="0.2">
      <c r="A25" s="18" t="s">
        <v>187</v>
      </c>
      <c r="B25" s="17" t="s">
        <v>188</v>
      </c>
      <c r="C25" s="18" t="s">
        <v>187</v>
      </c>
      <c r="D25" s="17" t="s">
        <v>189</v>
      </c>
      <c r="E25" s="17" t="s">
        <v>190</v>
      </c>
      <c r="F25" s="17" t="s">
        <v>188</v>
      </c>
      <c r="G25" s="19">
        <v>33834</v>
      </c>
      <c r="I25" s="17" t="s">
        <v>191</v>
      </c>
      <c r="J25" s="17" t="s">
        <v>114</v>
      </c>
      <c r="K25" s="17" t="s">
        <v>95</v>
      </c>
      <c r="L25" s="17" t="s">
        <v>115</v>
      </c>
      <c r="M25" s="17" t="s">
        <v>77</v>
      </c>
      <c r="N25" s="17" t="s">
        <v>50</v>
      </c>
      <c r="O25" s="17" t="s">
        <v>51</v>
      </c>
      <c r="P25" s="17" t="s">
        <v>68</v>
      </c>
      <c r="Q25" s="17" t="s">
        <v>148</v>
      </c>
      <c r="R25" s="17">
        <v>7</v>
      </c>
    </row>
    <row r="26" spans="1:18" x14ac:dyDescent="0.2">
      <c r="A26" s="18" t="s">
        <v>192</v>
      </c>
      <c r="B26" s="17" t="s">
        <v>193</v>
      </c>
      <c r="C26" s="18" t="s">
        <v>192</v>
      </c>
      <c r="D26" s="17" t="s">
        <v>194</v>
      </c>
      <c r="E26" s="17" t="s">
        <v>195</v>
      </c>
      <c r="F26" s="17" t="s">
        <v>193</v>
      </c>
      <c r="G26" s="19">
        <v>33834</v>
      </c>
      <c r="I26" s="17" t="s">
        <v>196</v>
      </c>
      <c r="J26" s="17" t="s">
        <v>197</v>
      </c>
      <c r="K26" s="17" t="s">
        <v>198</v>
      </c>
      <c r="L26" s="17" t="s">
        <v>115</v>
      </c>
      <c r="M26" s="17" t="s">
        <v>77</v>
      </c>
      <c r="N26" s="17" t="s">
        <v>50</v>
      </c>
      <c r="O26" s="17" t="s">
        <v>51</v>
      </c>
      <c r="P26" s="17" t="s">
        <v>68</v>
      </c>
      <c r="Q26" s="17" t="s">
        <v>148</v>
      </c>
      <c r="R26" s="17">
        <v>7</v>
      </c>
    </row>
    <row r="27" spans="1:18" x14ac:dyDescent="0.2">
      <c r="A27" s="18" t="s">
        <v>199</v>
      </c>
      <c r="B27" s="17" t="s">
        <v>200</v>
      </c>
      <c r="C27" s="18" t="s">
        <v>199</v>
      </c>
      <c r="D27" s="17" t="s">
        <v>201</v>
      </c>
      <c r="E27" s="17" t="s">
        <v>202</v>
      </c>
      <c r="F27" s="17" t="s">
        <v>200</v>
      </c>
      <c r="G27" s="19">
        <v>33903</v>
      </c>
      <c r="I27" s="17" t="s">
        <v>162</v>
      </c>
      <c r="J27" s="17" t="s">
        <v>107</v>
      </c>
      <c r="K27" s="17" t="s">
        <v>67</v>
      </c>
      <c r="L27" s="17" t="s">
        <v>115</v>
      </c>
      <c r="M27" s="17" t="s">
        <v>77</v>
      </c>
      <c r="N27" s="17" t="s">
        <v>50</v>
      </c>
      <c r="O27" s="17" t="s">
        <v>51</v>
      </c>
      <c r="P27" s="17" t="s">
        <v>68</v>
      </c>
      <c r="Q27" s="17" t="s">
        <v>134</v>
      </c>
      <c r="R27" s="17">
        <v>13</v>
      </c>
    </row>
    <row r="28" spans="1:18" x14ac:dyDescent="0.2">
      <c r="A28" s="18" t="s">
        <v>203</v>
      </c>
      <c r="B28" s="17" t="s">
        <v>204</v>
      </c>
      <c r="C28" s="18" t="s">
        <v>203</v>
      </c>
      <c r="D28" s="17" t="s">
        <v>205</v>
      </c>
      <c r="E28" s="17" t="s">
        <v>206</v>
      </c>
      <c r="F28" s="17" t="s">
        <v>204</v>
      </c>
      <c r="G28" s="19">
        <v>33910</v>
      </c>
      <c r="I28" s="17" t="s">
        <v>157</v>
      </c>
      <c r="J28" s="17" t="s">
        <v>114</v>
      </c>
      <c r="K28" s="17" t="s">
        <v>95</v>
      </c>
      <c r="L28" s="17" t="s">
        <v>115</v>
      </c>
      <c r="M28" s="17" t="s">
        <v>49</v>
      </c>
      <c r="N28" s="17" t="s">
        <v>50</v>
      </c>
      <c r="O28" s="17" t="s">
        <v>51</v>
      </c>
      <c r="P28" s="17" t="s">
        <v>52</v>
      </c>
      <c r="Q28" s="17" t="s">
        <v>61</v>
      </c>
      <c r="R28" s="17">
        <v>8</v>
      </c>
    </row>
    <row r="29" spans="1:18" x14ac:dyDescent="0.2">
      <c r="A29" s="18" t="s">
        <v>207</v>
      </c>
      <c r="B29" s="17" t="s">
        <v>208</v>
      </c>
      <c r="C29" s="18" t="s">
        <v>207</v>
      </c>
      <c r="D29" s="17" t="s">
        <v>209</v>
      </c>
      <c r="E29" s="17" t="s">
        <v>210</v>
      </c>
      <c r="F29" s="17" t="s">
        <v>208</v>
      </c>
      <c r="G29" s="19">
        <v>33920</v>
      </c>
      <c r="I29" s="17" t="s">
        <v>120</v>
      </c>
      <c r="J29" s="17" t="s">
        <v>114</v>
      </c>
      <c r="K29" s="17" t="s">
        <v>95</v>
      </c>
      <c r="L29" s="17" t="s">
        <v>115</v>
      </c>
      <c r="M29" s="17" t="s">
        <v>49</v>
      </c>
      <c r="N29" s="17" t="s">
        <v>50</v>
      </c>
      <c r="O29" s="17" t="s">
        <v>51</v>
      </c>
      <c r="P29" s="17" t="s">
        <v>68</v>
      </c>
      <c r="Q29" s="17" t="s">
        <v>121</v>
      </c>
      <c r="R29" s="17">
        <v>11</v>
      </c>
    </row>
    <row r="30" spans="1:18" x14ac:dyDescent="0.2">
      <c r="A30" s="18" t="s">
        <v>211</v>
      </c>
      <c r="B30" s="17" t="s">
        <v>212</v>
      </c>
      <c r="C30" s="18" t="s">
        <v>211</v>
      </c>
      <c r="D30" s="17" t="s">
        <v>213</v>
      </c>
      <c r="E30" s="17" t="s">
        <v>214</v>
      </c>
      <c r="F30" s="17" t="s">
        <v>212</v>
      </c>
      <c r="G30" s="19">
        <v>34091</v>
      </c>
      <c r="I30" s="17" t="s">
        <v>196</v>
      </c>
      <c r="J30" s="17" t="s">
        <v>197</v>
      </c>
      <c r="K30" s="17" t="s">
        <v>198</v>
      </c>
      <c r="L30" s="17" t="s">
        <v>115</v>
      </c>
      <c r="M30" s="17" t="s">
        <v>77</v>
      </c>
      <c r="N30" s="17" t="s">
        <v>50</v>
      </c>
      <c r="O30" s="17" t="s">
        <v>51</v>
      </c>
      <c r="P30" s="17" t="s">
        <v>68</v>
      </c>
      <c r="Q30" s="17" t="s">
        <v>148</v>
      </c>
      <c r="R30" s="17">
        <v>13</v>
      </c>
    </row>
    <row r="31" spans="1:18" x14ac:dyDescent="0.2">
      <c r="A31" s="18" t="s">
        <v>215</v>
      </c>
      <c r="B31" s="17" t="s">
        <v>216</v>
      </c>
      <c r="C31" s="18" t="s">
        <v>215</v>
      </c>
      <c r="D31" s="17" t="s">
        <v>217</v>
      </c>
      <c r="E31" s="17" t="s">
        <v>218</v>
      </c>
      <c r="F31" s="17" t="s">
        <v>216</v>
      </c>
      <c r="G31" s="19">
        <v>35278</v>
      </c>
      <c r="I31" s="17" t="s">
        <v>139</v>
      </c>
      <c r="J31" s="17" t="s">
        <v>114</v>
      </c>
      <c r="K31" s="17" t="s">
        <v>95</v>
      </c>
      <c r="L31" s="17" t="s">
        <v>115</v>
      </c>
      <c r="M31" s="17" t="s">
        <v>77</v>
      </c>
      <c r="N31" s="17" t="s">
        <v>50</v>
      </c>
      <c r="O31" s="17" t="s">
        <v>51</v>
      </c>
      <c r="P31" s="17" t="s">
        <v>68</v>
      </c>
      <c r="Q31" s="17" t="s">
        <v>128</v>
      </c>
      <c r="R31" s="17">
        <v>10</v>
      </c>
    </row>
    <row r="32" spans="1:18" x14ac:dyDescent="0.2">
      <c r="A32" s="18" t="s">
        <v>219</v>
      </c>
      <c r="B32" s="17" t="s">
        <v>220</v>
      </c>
      <c r="C32" s="18" t="s">
        <v>219</v>
      </c>
      <c r="D32" s="17" t="s">
        <v>220</v>
      </c>
      <c r="F32" s="17" t="s">
        <v>220</v>
      </c>
      <c r="G32" s="19">
        <v>35278</v>
      </c>
      <c r="I32" s="17" t="s">
        <v>162</v>
      </c>
      <c r="J32" s="17" t="s">
        <v>107</v>
      </c>
      <c r="K32" s="17" t="s">
        <v>67</v>
      </c>
      <c r="L32" s="17" t="s">
        <v>48</v>
      </c>
      <c r="M32" s="17" t="s">
        <v>77</v>
      </c>
      <c r="N32" s="17" t="s">
        <v>50</v>
      </c>
      <c r="O32" s="17" t="s">
        <v>147</v>
      </c>
      <c r="P32" s="17" t="s">
        <v>68</v>
      </c>
      <c r="Q32" s="17" t="s">
        <v>134</v>
      </c>
      <c r="R32" s="17">
        <v>9</v>
      </c>
    </row>
    <row r="33" spans="1:18" x14ac:dyDescent="0.2">
      <c r="A33" s="18" t="s">
        <v>221</v>
      </c>
      <c r="B33" s="17" t="s">
        <v>222</v>
      </c>
      <c r="C33" s="18" t="s">
        <v>221</v>
      </c>
      <c r="D33" s="17" t="s">
        <v>223</v>
      </c>
      <c r="E33" s="17" t="s">
        <v>224</v>
      </c>
      <c r="F33" s="17" t="s">
        <v>222</v>
      </c>
      <c r="G33" s="19">
        <v>35462</v>
      </c>
      <c r="I33" s="17" t="s">
        <v>191</v>
      </c>
      <c r="J33" s="17" t="s">
        <v>146</v>
      </c>
      <c r="K33" s="17" t="s">
        <v>95</v>
      </c>
      <c r="L33" s="17" t="s">
        <v>48</v>
      </c>
      <c r="M33" s="17" t="s">
        <v>77</v>
      </c>
      <c r="N33" s="17" t="s">
        <v>50</v>
      </c>
      <c r="O33" s="17" t="s">
        <v>147</v>
      </c>
      <c r="P33" s="17" t="s">
        <v>68</v>
      </c>
      <c r="Q33" s="17" t="s">
        <v>148</v>
      </c>
      <c r="R33" s="17">
        <v>6</v>
      </c>
    </row>
    <row r="34" spans="1:18" x14ac:dyDescent="0.2">
      <c r="A34" s="18" t="s">
        <v>225</v>
      </c>
      <c r="B34" s="17" t="s">
        <v>226</v>
      </c>
      <c r="C34" s="18" t="s">
        <v>225</v>
      </c>
      <c r="D34" s="17" t="s">
        <v>227</v>
      </c>
      <c r="E34" s="17" t="s">
        <v>224</v>
      </c>
      <c r="F34" s="17" t="s">
        <v>226</v>
      </c>
      <c r="G34" s="19">
        <v>35521</v>
      </c>
      <c r="I34" s="17" t="s">
        <v>228</v>
      </c>
      <c r="J34" s="17" t="s">
        <v>146</v>
      </c>
      <c r="K34" s="17" t="s">
        <v>95</v>
      </c>
      <c r="L34" s="17" t="s">
        <v>48</v>
      </c>
      <c r="M34" s="17" t="s">
        <v>77</v>
      </c>
      <c r="N34" s="17" t="s">
        <v>50</v>
      </c>
      <c r="O34" s="17" t="s">
        <v>147</v>
      </c>
      <c r="P34" s="17" t="s">
        <v>68</v>
      </c>
      <c r="Q34" s="17" t="s">
        <v>140</v>
      </c>
      <c r="R34" s="17">
        <v>1</v>
      </c>
    </row>
    <row r="35" spans="1:18" x14ac:dyDescent="0.2">
      <c r="A35" s="18" t="s">
        <v>229</v>
      </c>
      <c r="B35" s="17" t="s">
        <v>230</v>
      </c>
      <c r="C35" s="18" t="s">
        <v>229</v>
      </c>
      <c r="D35" s="17" t="s">
        <v>231</v>
      </c>
      <c r="E35" s="17" t="s">
        <v>232</v>
      </c>
      <c r="F35" s="17" t="s">
        <v>230</v>
      </c>
      <c r="G35" s="19">
        <v>35551</v>
      </c>
      <c r="I35" s="17" t="s">
        <v>162</v>
      </c>
      <c r="J35" s="17" t="s">
        <v>107</v>
      </c>
      <c r="K35" s="17" t="s">
        <v>67</v>
      </c>
      <c r="L35" s="17" t="s">
        <v>115</v>
      </c>
      <c r="M35" s="17" t="s">
        <v>77</v>
      </c>
      <c r="N35" s="17" t="s">
        <v>50</v>
      </c>
      <c r="O35" s="17" t="s">
        <v>51</v>
      </c>
      <c r="P35" s="17" t="s">
        <v>68</v>
      </c>
      <c r="Q35" s="17" t="s">
        <v>148</v>
      </c>
      <c r="R35" s="17">
        <v>14</v>
      </c>
    </row>
    <row r="36" spans="1:18" x14ac:dyDescent="0.2">
      <c r="A36" s="18" t="s">
        <v>233</v>
      </c>
      <c r="B36" s="17" t="s">
        <v>234</v>
      </c>
      <c r="C36" s="18" t="s">
        <v>233</v>
      </c>
      <c r="D36" s="17" t="s">
        <v>235</v>
      </c>
      <c r="E36" s="17" t="s">
        <v>236</v>
      </c>
      <c r="F36" s="17" t="s">
        <v>234</v>
      </c>
      <c r="G36" s="19">
        <v>35551</v>
      </c>
      <c r="I36" s="17" t="s">
        <v>191</v>
      </c>
      <c r="J36" s="17" t="s">
        <v>114</v>
      </c>
      <c r="K36" s="17" t="s">
        <v>95</v>
      </c>
      <c r="L36" s="17" t="s">
        <v>115</v>
      </c>
      <c r="M36" s="17" t="s">
        <v>77</v>
      </c>
      <c r="N36" s="17" t="s">
        <v>50</v>
      </c>
      <c r="O36" s="17" t="s">
        <v>51</v>
      </c>
      <c r="P36" s="17" t="s">
        <v>68</v>
      </c>
      <c r="Q36" s="17" t="s">
        <v>148</v>
      </c>
      <c r="R36" s="17">
        <v>8</v>
      </c>
    </row>
    <row r="37" spans="1:18" x14ac:dyDescent="0.2">
      <c r="A37" s="18" t="s">
        <v>237</v>
      </c>
      <c r="B37" s="17" t="s">
        <v>238</v>
      </c>
      <c r="C37" s="18" t="s">
        <v>237</v>
      </c>
      <c r="D37" s="17" t="s">
        <v>239</v>
      </c>
      <c r="E37" s="17" t="s">
        <v>240</v>
      </c>
      <c r="F37" s="17" t="s">
        <v>238</v>
      </c>
      <c r="G37" s="19">
        <v>35551</v>
      </c>
      <c r="I37" s="17" t="s">
        <v>196</v>
      </c>
      <c r="J37" s="17" t="s">
        <v>197</v>
      </c>
      <c r="K37" s="17" t="s">
        <v>198</v>
      </c>
      <c r="L37" s="17" t="s">
        <v>115</v>
      </c>
      <c r="M37" s="17" t="s">
        <v>77</v>
      </c>
      <c r="N37" s="17" t="s">
        <v>50</v>
      </c>
      <c r="O37" s="17" t="s">
        <v>51</v>
      </c>
      <c r="P37" s="17" t="s">
        <v>68</v>
      </c>
      <c r="Q37" s="17" t="s">
        <v>148</v>
      </c>
      <c r="R37" s="17">
        <v>15</v>
      </c>
    </row>
    <row r="38" spans="1:18" x14ac:dyDescent="0.2">
      <c r="A38" s="18" t="s">
        <v>241</v>
      </c>
      <c r="B38" s="17" t="s">
        <v>242</v>
      </c>
      <c r="C38" s="18" t="s">
        <v>241</v>
      </c>
      <c r="D38" s="17" t="s">
        <v>243</v>
      </c>
      <c r="E38" s="17" t="s">
        <v>244</v>
      </c>
      <c r="F38" s="17" t="s">
        <v>242</v>
      </c>
      <c r="G38" s="19">
        <v>36342</v>
      </c>
      <c r="I38" s="17" t="s">
        <v>245</v>
      </c>
      <c r="J38" s="17" t="s">
        <v>84</v>
      </c>
      <c r="K38" s="17" t="s">
        <v>67</v>
      </c>
      <c r="L38" s="17" t="s">
        <v>48</v>
      </c>
      <c r="M38" s="17" t="s">
        <v>77</v>
      </c>
      <c r="N38" s="17" t="s">
        <v>50</v>
      </c>
      <c r="O38" s="17" t="s">
        <v>51</v>
      </c>
      <c r="P38" s="17" t="s">
        <v>68</v>
      </c>
      <c r="Q38" s="17" t="s">
        <v>134</v>
      </c>
      <c r="R38" s="17">
        <v>9</v>
      </c>
    </row>
    <row r="39" spans="1:18" x14ac:dyDescent="0.2">
      <c r="A39" s="18" t="s">
        <v>246</v>
      </c>
      <c r="B39" s="17" t="s">
        <v>247</v>
      </c>
      <c r="C39" s="18" t="s">
        <v>246</v>
      </c>
      <c r="D39" s="17" t="s">
        <v>248</v>
      </c>
      <c r="E39" s="17" t="s">
        <v>249</v>
      </c>
      <c r="F39" s="17" t="s">
        <v>247</v>
      </c>
      <c r="G39" s="19">
        <v>36342</v>
      </c>
      <c r="I39" s="17" t="s">
        <v>153</v>
      </c>
      <c r="J39" s="17" t="s">
        <v>114</v>
      </c>
      <c r="K39" s="17" t="s">
        <v>95</v>
      </c>
      <c r="L39" s="17" t="s">
        <v>115</v>
      </c>
      <c r="M39" s="17" t="s">
        <v>77</v>
      </c>
      <c r="N39" s="17" t="s">
        <v>50</v>
      </c>
      <c r="O39" s="17" t="s">
        <v>51</v>
      </c>
      <c r="P39" s="17" t="s">
        <v>68</v>
      </c>
      <c r="Q39" s="17" t="s">
        <v>154</v>
      </c>
      <c r="R39" s="17">
        <v>10</v>
      </c>
    </row>
    <row r="40" spans="1:18" x14ac:dyDescent="0.2">
      <c r="A40" s="18" t="s">
        <v>250</v>
      </c>
      <c r="B40" s="17" t="s">
        <v>251</v>
      </c>
      <c r="C40" s="18" t="s">
        <v>250</v>
      </c>
      <c r="D40" s="17" t="s">
        <v>252</v>
      </c>
      <c r="E40" s="17" t="s">
        <v>253</v>
      </c>
      <c r="F40" s="17" t="s">
        <v>251</v>
      </c>
      <c r="G40" s="19">
        <v>36342</v>
      </c>
      <c r="I40" s="17" t="s">
        <v>172</v>
      </c>
      <c r="J40" s="17" t="s">
        <v>114</v>
      </c>
      <c r="K40" s="17" t="s">
        <v>95</v>
      </c>
      <c r="L40" s="17" t="s">
        <v>48</v>
      </c>
      <c r="M40" s="17" t="s">
        <v>77</v>
      </c>
      <c r="N40" s="17" t="s">
        <v>50</v>
      </c>
      <c r="O40" s="17" t="s">
        <v>51</v>
      </c>
      <c r="P40" s="17" t="s">
        <v>68</v>
      </c>
      <c r="Q40" s="17" t="s">
        <v>154</v>
      </c>
      <c r="R40" s="17">
        <v>11</v>
      </c>
    </row>
    <row r="41" spans="1:18" x14ac:dyDescent="0.2">
      <c r="A41" s="18" t="s">
        <v>254</v>
      </c>
      <c r="B41" s="17" t="s">
        <v>255</v>
      </c>
      <c r="C41" s="18" t="s">
        <v>254</v>
      </c>
      <c r="D41" s="17" t="s">
        <v>256</v>
      </c>
      <c r="E41" s="17" t="s">
        <v>257</v>
      </c>
      <c r="F41" s="17" t="s">
        <v>255</v>
      </c>
      <c r="G41" s="19">
        <v>36342</v>
      </c>
      <c r="I41" s="17" t="s">
        <v>153</v>
      </c>
      <c r="J41" s="17" t="s">
        <v>114</v>
      </c>
      <c r="K41" s="17" t="s">
        <v>95</v>
      </c>
      <c r="L41" s="17" t="s">
        <v>115</v>
      </c>
      <c r="M41" s="17" t="s">
        <v>77</v>
      </c>
      <c r="N41" s="17" t="s">
        <v>50</v>
      </c>
      <c r="O41" s="17" t="s">
        <v>51</v>
      </c>
      <c r="P41" s="17" t="s">
        <v>68</v>
      </c>
      <c r="Q41" s="17" t="s">
        <v>154</v>
      </c>
      <c r="R41" s="17">
        <v>11</v>
      </c>
    </row>
    <row r="42" spans="1:18" x14ac:dyDescent="0.2">
      <c r="A42" s="18" t="s">
        <v>258</v>
      </c>
      <c r="B42" s="17" t="s">
        <v>259</v>
      </c>
      <c r="C42" s="18" t="s">
        <v>258</v>
      </c>
      <c r="D42" s="17" t="s">
        <v>260</v>
      </c>
      <c r="E42" s="17" t="s">
        <v>261</v>
      </c>
      <c r="F42" s="17" t="s">
        <v>259</v>
      </c>
      <c r="G42" s="19">
        <v>36342</v>
      </c>
      <c r="I42" s="17" t="s">
        <v>153</v>
      </c>
      <c r="J42" s="17" t="s">
        <v>114</v>
      </c>
      <c r="K42" s="17" t="s">
        <v>95</v>
      </c>
      <c r="L42" s="17" t="s">
        <v>115</v>
      </c>
      <c r="M42" s="17" t="s">
        <v>77</v>
      </c>
      <c r="N42" s="17" t="s">
        <v>50</v>
      </c>
      <c r="O42" s="17" t="s">
        <v>51</v>
      </c>
      <c r="P42" s="17" t="s">
        <v>68</v>
      </c>
      <c r="Q42" s="17" t="s">
        <v>154</v>
      </c>
      <c r="R42" s="17">
        <v>14</v>
      </c>
    </row>
    <row r="43" spans="1:18" x14ac:dyDescent="0.2">
      <c r="A43" s="18" t="s">
        <v>262</v>
      </c>
      <c r="B43" s="17" t="s">
        <v>263</v>
      </c>
      <c r="C43" s="18" t="s">
        <v>262</v>
      </c>
      <c r="D43" s="17" t="s">
        <v>264</v>
      </c>
      <c r="E43" s="17" t="s">
        <v>265</v>
      </c>
      <c r="F43" s="17" t="s">
        <v>263</v>
      </c>
      <c r="G43" s="19">
        <v>36342</v>
      </c>
      <c r="I43" s="17" t="s">
        <v>162</v>
      </c>
      <c r="J43" s="17" t="s">
        <v>107</v>
      </c>
      <c r="K43" s="17" t="s">
        <v>67</v>
      </c>
      <c r="L43" s="17" t="s">
        <v>115</v>
      </c>
      <c r="M43" s="17" t="s">
        <v>77</v>
      </c>
      <c r="N43" s="17" t="s">
        <v>50</v>
      </c>
      <c r="O43" s="17" t="s">
        <v>51</v>
      </c>
      <c r="P43" s="17" t="s">
        <v>68</v>
      </c>
      <c r="Q43" s="17" t="s">
        <v>148</v>
      </c>
      <c r="R43" s="17">
        <v>11</v>
      </c>
    </row>
    <row r="44" spans="1:18" x14ac:dyDescent="0.2">
      <c r="A44" s="18" t="s">
        <v>266</v>
      </c>
      <c r="B44" s="17" t="s">
        <v>267</v>
      </c>
      <c r="C44" s="18" t="s">
        <v>266</v>
      </c>
      <c r="D44" s="17" t="s">
        <v>268</v>
      </c>
      <c r="E44" s="17" t="s">
        <v>269</v>
      </c>
      <c r="F44" s="17" t="s">
        <v>267</v>
      </c>
      <c r="G44" s="19">
        <v>36342</v>
      </c>
      <c r="I44" s="17" t="s">
        <v>120</v>
      </c>
      <c r="J44" s="17" t="s">
        <v>114</v>
      </c>
      <c r="K44" s="17" t="s">
        <v>95</v>
      </c>
      <c r="L44" s="17" t="s">
        <v>115</v>
      </c>
      <c r="M44" s="17" t="s">
        <v>49</v>
      </c>
      <c r="N44" s="17" t="s">
        <v>50</v>
      </c>
      <c r="O44" s="17" t="s">
        <v>51</v>
      </c>
      <c r="P44" s="17" t="s">
        <v>68</v>
      </c>
      <c r="Q44" s="17" t="s">
        <v>121</v>
      </c>
      <c r="R44" s="17">
        <v>12</v>
      </c>
    </row>
    <row r="45" spans="1:18" x14ac:dyDescent="0.2">
      <c r="A45" s="18" t="s">
        <v>270</v>
      </c>
      <c r="B45" s="17" t="s">
        <v>271</v>
      </c>
      <c r="C45" s="18" t="s">
        <v>270</v>
      </c>
      <c r="D45" s="17" t="s">
        <v>272</v>
      </c>
      <c r="E45" s="17" t="s">
        <v>273</v>
      </c>
      <c r="F45" s="17" t="s">
        <v>271</v>
      </c>
      <c r="G45" s="19">
        <v>36342</v>
      </c>
      <c r="I45" s="17" t="s">
        <v>120</v>
      </c>
      <c r="J45" s="17" t="s">
        <v>114</v>
      </c>
      <c r="K45" s="17" t="s">
        <v>95</v>
      </c>
      <c r="L45" s="17" t="s">
        <v>115</v>
      </c>
      <c r="M45" s="17" t="s">
        <v>49</v>
      </c>
      <c r="N45" s="17" t="s">
        <v>50</v>
      </c>
      <c r="O45" s="17" t="s">
        <v>51</v>
      </c>
      <c r="P45" s="17" t="s">
        <v>68</v>
      </c>
      <c r="Q45" s="17" t="s">
        <v>121</v>
      </c>
      <c r="R45" s="17">
        <v>10</v>
      </c>
    </row>
    <row r="46" spans="1:18" x14ac:dyDescent="0.2">
      <c r="A46" s="18" t="s">
        <v>274</v>
      </c>
      <c r="B46" s="17" t="s">
        <v>275</v>
      </c>
      <c r="C46" s="18" t="s">
        <v>274</v>
      </c>
      <c r="D46" s="17" t="s">
        <v>275</v>
      </c>
      <c r="F46" s="17" t="s">
        <v>275</v>
      </c>
      <c r="G46" s="19">
        <v>36342</v>
      </c>
      <c r="I46" s="17" t="s">
        <v>120</v>
      </c>
      <c r="J46" s="17" t="s">
        <v>114</v>
      </c>
      <c r="K46" s="17" t="s">
        <v>95</v>
      </c>
      <c r="L46" s="17" t="s">
        <v>115</v>
      </c>
      <c r="M46" s="17" t="s">
        <v>49</v>
      </c>
      <c r="N46" s="17" t="s">
        <v>50</v>
      </c>
      <c r="O46" s="17" t="s">
        <v>51</v>
      </c>
      <c r="P46" s="17" t="s">
        <v>68</v>
      </c>
      <c r="Q46" s="17" t="s">
        <v>121</v>
      </c>
      <c r="R46" s="17">
        <v>10</v>
      </c>
    </row>
    <row r="47" spans="1:18" x14ac:dyDescent="0.2">
      <c r="A47" s="18" t="s">
        <v>276</v>
      </c>
      <c r="B47" s="17" t="s">
        <v>277</v>
      </c>
      <c r="C47" s="18" t="s">
        <v>276</v>
      </c>
      <c r="D47" s="17" t="s">
        <v>278</v>
      </c>
      <c r="E47" s="17" t="s">
        <v>279</v>
      </c>
      <c r="F47" s="17" t="s">
        <v>277</v>
      </c>
      <c r="G47" s="19">
        <v>36342</v>
      </c>
      <c r="I47" s="17" t="s">
        <v>280</v>
      </c>
      <c r="J47" s="17" t="s">
        <v>114</v>
      </c>
      <c r="K47" s="17" t="s">
        <v>95</v>
      </c>
      <c r="L47" s="17" t="s">
        <v>115</v>
      </c>
      <c r="M47" s="17" t="s">
        <v>77</v>
      </c>
      <c r="N47" s="17" t="s">
        <v>50</v>
      </c>
      <c r="O47" s="17" t="s">
        <v>51</v>
      </c>
      <c r="P47" s="17" t="s">
        <v>68</v>
      </c>
      <c r="Q47" s="17" t="s">
        <v>69</v>
      </c>
      <c r="R47" s="17">
        <v>1</v>
      </c>
    </row>
    <row r="48" spans="1:18" x14ac:dyDescent="0.2">
      <c r="A48" s="18" t="s">
        <v>281</v>
      </c>
      <c r="B48" s="17" t="s">
        <v>282</v>
      </c>
      <c r="C48" s="18" t="s">
        <v>281</v>
      </c>
      <c r="D48" s="17" t="s">
        <v>283</v>
      </c>
      <c r="E48" s="17" t="s">
        <v>284</v>
      </c>
      <c r="F48" s="17" t="s">
        <v>282</v>
      </c>
      <c r="G48" s="19">
        <v>36342</v>
      </c>
      <c r="I48" s="17" t="s">
        <v>153</v>
      </c>
      <c r="J48" s="17" t="s">
        <v>114</v>
      </c>
      <c r="K48" s="17" t="s">
        <v>95</v>
      </c>
      <c r="L48" s="17" t="s">
        <v>115</v>
      </c>
      <c r="M48" s="17" t="s">
        <v>77</v>
      </c>
      <c r="N48" s="17" t="s">
        <v>50</v>
      </c>
      <c r="O48" s="17" t="s">
        <v>51</v>
      </c>
      <c r="P48" s="17" t="s">
        <v>68</v>
      </c>
      <c r="Q48" s="17" t="s">
        <v>154</v>
      </c>
      <c r="R48" s="17">
        <v>15</v>
      </c>
    </row>
    <row r="49" spans="1:18" x14ac:dyDescent="0.2">
      <c r="A49" s="18" t="s">
        <v>285</v>
      </c>
      <c r="B49" s="17" t="s">
        <v>286</v>
      </c>
      <c r="C49" s="18" t="s">
        <v>285</v>
      </c>
      <c r="D49" s="17" t="s">
        <v>287</v>
      </c>
      <c r="E49" s="17" t="s">
        <v>288</v>
      </c>
      <c r="F49" s="17" t="s">
        <v>286</v>
      </c>
      <c r="G49" s="19">
        <v>37043</v>
      </c>
      <c r="I49" s="17" t="s">
        <v>181</v>
      </c>
      <c r="J49" s="17" t="s">
        <v>182</v>
      </c>
      <c r="K49" s="17" t="s">
        <v>89</v>
      </c>
      <c r="L49" s="17" t="s">
        <v>115</v>
      </c>
      <c r="M49" s="17" t="s">
        <v>77</v>
      </c>
      <c r="N49" s="17" t="s">
        <v>50</v>
      </c>
      <c r="O49" s="17" t="s">
        <v>51</v>
      </c>
      <c r="P49" s="17" t="s">
        <v>68</v>
      </c>
      <c r="Q49" s="17" t="s">
        <v>154</v>
      </c>
      <c r="R49" s="17">
        <v>13</v>
      </c>
    </row>
    <row r="50" spans="1:18" x14ac:dyDescent="0.2">
      <c r="A50" s="18" t="s">
        <v>289</v>
      </c>
      <c r="B50" s="17" t="s">
        <v>290</v>
      </c>
      <c r="C50" s="18" t="s">
        <v>289</v>
      </c>
      <c r="D50" s="17" t="s">
        <v>291</v>
      </c>
      <c r="E50" s="17" t="s">
        <v>292</v>
      </c>
      <c r="F50" s="17" t="s">
        <v>290</v>
      </c>
      <c r="G50" s="19">
        <v>37257</v>
      </c>
      <c r="I50" s="17" t="s">
        <v>293</v>
      </c>
      <c r="J50" s="17" t="s">
        <v>84</v>
      </c>
      <c r="K50" s="17" t="s">
        <v>67</v>
      </c>
      <c r="L50" s="17" t="s">
        <v>48</v>
      </c>
      <c r="M50" s="17" t="s">
        <v>77</v>
      </c>
      <c r="N50" s="17" t="s">
        <v>50</v>
      </c>
      <c r="O50" s="17" t="s">
        <v>51</v>
      </c>
      <c r="P50" s="17" t="s">
        <v>68</v>
      </c>
      <c r="Q50" s="17" t="s">
        <v>134</v>
      </c>
      <c r="R50" s="17">
        <v>8</v>
      </c>
    </row>
    <row r="51" spans="1:18" x14ac:dyDescent="0.2">
      <c r="A51" s="18" t="s">
        <v>294</v>
      </c>
      <c r="B51" s="17" t="s">
        <v>295</v>
      </c>
      <c r="C51" s="18" t="s">
        <v>294</v>
      </c>
      <c r="D51" s="17" t="s">
        <v>296</v>
      </c>
      <c r="E51" s="17" t="s">
        <v>297</v>
      </c>
      <c r="F51" s="17" t="s">
        <v>295</v>
      </c>
      <c r="G51" s="19">
        <v>37599</v>
      </c>
      <c r="I51" s="17" t="s">
        <v>298</v>
      </c>
      <c r="J51" s="17" t="s">
        <v>101</v>
      </c>
      <c r="K51" s="17" t="s">
        <v>89</v>
      </c>
      <c r="L51" s="17" t="s">
        <v>48</v>
      </c>
      <c r="M51" s="17" t="s">
        <v>77</v>
      </c>
      <c r="N51" s="17" t="s">
        <v>50</v>
      </c>
      <c r="O51" s="17" t="s">
        <v>51</v>
      </c>
      <c r="P51" s="17" t="s">
        <v>68</v>
      </c>
      <c r="Q51" s="17" t="s">
        <v>148</v>
      </c>
      <c r="R51" s="17">
        <v>8</v>
      </c>
    </row>
    <row r="52" spans="1:18" x14ac:dyDescent="0.2">
      <c r="A52" s="18" t="s">
        <v>299</v>
      </c>
      <c r="B52" s="17" t="s">
        <v>300</v>
      </c>
      <c r="C52" s="18" t="s">
        <v>299</v>
      </c>
      <c r="D52" s="17" t="s">
        <v>301</v>
      </c>
      <c r="E52" s="17" t="s">
        <v>302</v>
      </c>
      <c r="F52" s="17" t="s">
        <v>300</v>
      </c>
      <c r="G52" s="19">
        <v>38139</v>
      </c>
      <c r="I52" s="17" t="s">
        <v>162</v>
      </c>
      <c r="J52" s="17" t="s">
        <v>107</v>
      </c>
      <c r="K52" s="17" t="s">
        <v>67</v>
      </c>
      <c r="L52" s="17" t="s">
        <v>115</v>
      </c>
      <c r="M52" s="17" t="s">
        <v>77</v>
      </c>
      <c r="N52" s="17" t="s">
        <v>50</v>
      </c>
      <c r="O52" s="17" t="s">
        <v>51</v>
      </c>
      <c r="P52" s="17" t="s">
        <v>68</v>
      </c>
      <c r="Q52" s="17" t="s">
        <v>148</v>
      </c>
      <c r="R52" s="17">
        <v>8</v>
      </c>
    </row>
    <row r="53" spans="1:18" x14ac:dyDescent="0.2">
      <c r="A53" s="18" t="s">
        <v>303</v>
      </c>
      <c r="B53" s="17" t="s">
        <v>304</v>
      </c>
      <c r="C53" s="18" t="s">
        <v>303</v>
      </c>
      <c r="D53" s="17" t="s">
        <v>305</v>
      </c>
      <c r="E53" s="17" t="s">
        <v>306</v>
      </c>
      <c r="F53" s="17" t="s">
        <v>304</v>
      </c>
      <c r="G53" s="19">
        <v>38306</v>
      </c>
      <c r="I53" s="17" t="s">
        <v>307</v>
      </c>
      <c r="J53" s="17" t="s">
        <v>182</v>
      </c>
      <c r="K53" s="17" t="s">
        <v>89</v>
      </c>
      <c r="L53" s="17" t="s">
        <v>115</v>
      </c>
      <c r="M53" s="17" t="s">
        <v>77</v>
      </c>
      <c r="N53" s="17" t="s">
        <v>50</v>
      </c>
      <c r="O53" s="17" t="s">
        <v>51</v>
      </c>
      <c r="P53" s="17" t="s">
        <v>68</v>
      </c>
      <c r="Q53" s="17" t="s">
        <v>148</v>
      </c>
      <c r="R53" s="17">
        <v>6</v>
      </c>
    </row>
    <row r="54" spans="1:18" x14ac:dyDescent="0.2">
      <c r="A54" s="18" t="s">
        <v>308</v>
      </c>
      <c r="B54" s="17" t="s">
        <v>309</v>
      </c>
      <c r="C54" s="18" t="s">
        <v>308</v>
      </c>
      <c r="D54" s="17" t="s">
        <v>310</v>
      </c>
      <c r="E54" s="17" t="s">
        <v>311</v>
      </c>
      <c r="F54" s="17" t="s">
        <v>309</v>
      </c>
      <c r="G54" s="19">
        <v>38306</v>
      </c>
      <c r="I54" s="17" t="s">
        <v>307</v>
      </c>
      <c r="J54" s="17" t="s">
        <v>182</v>
      </c>
      <c r="K54" s="17" t="s">
        <v>89</v>
      </c>
      <c r="L54" s="17" t="s">
        <v>115</v>
      </c>
      <c r="M54" s="17" t="s">
        <v>77</v>
      </c>
      <c r="N54" s="17" t="s">
        <v>50</v>
      </c>
      <c r="O54" s="17" t="s">
        <v>51</v>
      </c>
      <c r="P54" s="17" t="s">
        <v>68</v>
      </c>
      <c r="Q54" s="17" t="s">
        <v>148</v>
      </c>
      <c r="R54" s="17">
        <v>4</v>
      </c>
    </row>
    <row r="55" spans="1:18" x14ac:dyDescent="0.2">
      <c r="A55" s="18" t="s">
        <v>312</v>
      </c>
      <c r="B55" s="17" t="s">
        <v>313</v>
      </c>
      <c r="C55" s="18" t="s">
        <v>312</v>
      </c>
      <c r="D55" s="17" t="s">
        <v>314</v>
      </c>
      <c r="E55" s="17" t="s">
        <v>315</v>
      </c>
      <c r="F55" s="17" t="s">
        <v>313</v>
      </c>
      <c r="G55" s="19">
        <v>38353</v>
      </c>
      <c r="I55" s="17" t="s">
        <v>153</v>
      </c>
      <c r="J55" s="17" t="s">
        <v>114</v>
      </c>
      <c r="K55" s="17" t="s">
        <v>95</v>
      </c>
      <c r="L55" s="17" t="s">
        <v>115</v>
      </c>
      <c r="M55" s="17" t="s">
        <v>77</v>
      </c>
      <c r="N55" s="17" t="s">
        <v>50</v>
      </c>
      <c r="O55" s="17" t="s">
        <v>51</v>
      </c>
      <c r="P55" s="17" t="s">
        <v>68</v>
      </c>
      <c r="Q55" s="17" t="s">
        <v>154</v>
      </c>
      <c r="R55" s="17">
        <v>9</v>
      </c>
    </row>
    <row r="56" spans="1:18" x14ac:dyDescent="0.2">
      <c r="A56" s="18" t="s">
        <v>316</v>
      </c>
      <c r="B56" s="17" t="s">
        <v>317</v>
      </c>
      <c r="C56" s="18" t="s">
        <v>316</v>
      </c>
      <c r="D56" s="17" t="s">
        <v>318</v>
      </c>
      <c r="E56" s="17" t="s">
        <v>319</v>
      </c>
      <c r="F56" s="17" t="s">
        <v>317</v>
      </c>
      <c r="G56" s="19">
        <v>38353</v>
      </c>
      <c r="I56" s="17" t="s">
        <v>120</v>
      </c>
      <c r="J56" s="17" t="s">
        <v>114</v>
      </c>
      <c r="K56" s="17" t="s">
        <v>95</v>
      </c>
      <c r="L56" s="17" t="s">
        <v>115</v>
      </c>
      <c r="M56" s="17" t="s">
        <v>49</v>
      </c>
      <c r="N56" s="17" t="s">
        <v>50</v>
      </c>
      <c r="O56" s="17" t="s">
        <v>51</v>
      </c>
      <c r="P56" s="17" t="s">
        <v>68</v>
      </c>
      <c r="Q56" s="17" t="s">
        <v>121</v>
      </c>
      <c r="R56" s="17">
        <v>4</v>
      </c>
    </row>
    <row r="57" spans="1:18" x14ac:dyDescent="0.2">
      <c r="A57" s="18" t="s">
        <v>320</v>
      </c>
      <c r="B57" s="17" t="s">
        <v>321</v>
      </c>
      <c r="C57" s="18" t="s">
        <v>320</v>
      </c>
      <c r="D57" s="17" t="s">
        <v>322</v>
      </c>
      <c r="E57" s="17" t="s">
        <v>323</v>
      </c>
      <c r="F57" s="17" t="s">
        <v>321</v>
      </c>
      <c r="G57" s="19">
        <v>38353</v>
      </c>
      <c r="I57" s="17" t="s">
        <v>324</v>
      </c>
      <c r="J57" s="17" t="s">
        <v>127</v>
      </c>
      <c r="K57" s="17" t="s">
        <v>67</v>
      </c>
      <c r="L57" s="17" t="s">
        <v>48</v>
      </c>
      <c r="M57" s="17" t="s">
        <v>77</v>
      </c>
      <c r="N57" s="17" t="s">
        <v>50</v>
      </c>
      <c r="O57" s="17" t="s">
        <v>51</v>
      </c>
      <c r="P57" s="17" t="s">
        <v>68</v>
      </c>
      <c r="Q57" s="17" t="s">
        <v>128</v>
      </c>
      <c r="R57" s="17">
        <v>6</v>
      </c>
    </row>
    <row r="58" spans="1:18" x14ac:dyDescent="0.2">
      <c r="A58" s="18" t="s">
        <v>325</v>
      </c>
      <c r="B58" s="17" t="s">
        <v>326</v>
      </c>
      <c r="C58" s="18" t="s">
        <v>325</v>
      </c>
      <c r="D58" s="17" t="s">
        <v>327</v>
      </c>
      <c r="E58" s="17" t="s">
        <v>328</v>
      </c>
      <c r="F58" s="17" t="s">
        <v>326</v>
      </c>
      <c r="G58" s="19">
        <v>38353</v>
      </c>
      <c r="I58" s="17" t="s">
        <v>153</v>
      </c>
      <c r="J58" s="17" t="s">
        <v>146</v>
      </c>
      <c r="K58" s="17" t="s">
        <v>95</v>
      </c>
      <c r="L58" s="17" t="s">
        <v>48</v>
      </c>
      <c r="M58" s="17" t="s">
        <v>77</v>
      </c>
      <c r="N58" s="17" t="s">
        <v>50</v>
      </c>
      <c r="O58" s="17" t="s">
        <v>147</v>
      </c>
      <c r="P58" s="17" t="s">
        <v>68</v>
      </c>
      <c r="Q58" s="17" t="s">
        <v>154</v>
      </c>
      <c r="R58" s="17">
        <v>8</v>
      </c>
    </row>
    <row r="59" spans="1:18" x14ac:dyDescent="0.2">
      <c r="A59" s="18" t="s">
        <v>329</v>
      </c>
      <c r="B59" s="17" t="s">
        <v>330</v>
      </c>
      <c r="C59" s="18" t="s">
        <v>329</v>
      </c>
      <c r="D59" s="17" t="s">
        <v>331</v>
      </c>
      <c r="E59" s="17" t="s">
        <v>332</v>
      </c>
      <c r="F59" s="17" t="s">
        <v>330</v>
      </c>
      <c r="G59" s="19">
        <v>38580</v>
      </c>
      <c r="I59" s="17" t="s">
        <v>157</v>
      </c>
      <c r="J59" s="17" t="s">
        <v>114</v>
      </c>
      <c r="K59" s="17" t="s">
        <v>95</v>
      </c>
      <c r="L59" s="17" t="s">
        <v>115</v>
      </c>
      <c r="M59" s="17" t="s">
        <v>49</v>
      </c>
      <c r="N59" s="17" t="s">
        <v>50</v>
      </c>
      <c r="O59" s="17" t="s">
        <v>51</v>
      </c>
      <c r="P59" s="17" t="s">
        <v>52</v>
      </c>
      <c r="Q59" s="17" t="s">
        <v>61</v>
      </c>
      <c r="R59" s="17">
        <v>1</v>
      </c>
    </row>
    <row r="60" spans="1:18" x14ac:dyDescent="0.2">
      <c r="A60" s="18" t="s">
        <v>333</v>
      </c>
      <c r="B60" s="17" t="s">
        <v>334</v>
      </c>
      <c r="C60" s="18" t="s">
        <v>333</v>
      </c>
      <c r="D60" s="17" t="s">
        <v>335</v>
      </c>
      <c r="E60" s="17" t="s">
        <v>336</v>
      </c>
      <c r="F60" s="17" t="s">
        <v>334</v>
      </c>
      <c r="G60" s="19">
        <v>38718</v>
      </c>
      <c r="I60" s="17" t="s">
        <v>120</v>
      </c>
      <c r="J60" s="17" t="s">
        <v>146</v>
      </c>
      <c r="K60" s="17" t="s">
        <v>95</v>
      </c>
      <c r="L60" s="17" t="s">
        <v>48</v>
      </c>
      <c r="M60" s="17" t="s">
        <v>49</v>
      </c>
      <c r="N60" s="17" t="s">
        <v>50</v>
      </c>
      <c r="O60" s="17" t="s">
        <v>147</v>
      </c>
      <c r="P60" s="17" t="s">
        <v>68</v>
      </c>
      <c r="Q60" s="17" t="s">
        <v>121</v>
      </c>
      <c r="R60" s="17">
        <v>5</v>
      </c>
    </row>
    <row r="61" spans="1:18" x14ac:dyDescent="0.2">
      <c r="A61" s="18" t="s">
        <v>337</v>
      </c>
      <c r="B61" s="17" t="s">
        <v>338</v>
      </c>
      <c r="C61" s="18" t="s">
        <v>337</v>
      </c>
      <c r="D61" s="17" t="s">
        <v>339</v>
      </c>
      <c r="E61" s="17" t="s">
        <v>340</v>
      </c>
      <c r="F61" s="17" t="s">
        <v>338</v>
      </c>
      <c r="G61" s="19">
        <v>38718</v>
      </c>
      <c r="I61" s="17" t="s">
        <v>120</v>
      </c>
      <c r="J61" s="17" t="s">
        <v>146</v>
      </c>
      <c r="K61" s="17" t="s">
        <v>95</v>
      </c>
      <c r="L61" s="17" t="s">
        <v>48</v>
      </c>
      <c r="M61" s="17" t="s">
        <v>49</v>
      </c>
      <c r="N61" s="17" t="s">
        <v>50</v>
      </c>
      <c r="O61" s="17" t="s">
        <v>147</v>
      </c>
      <c r="P61" s="17" t="s">
        <v>68</v>
      </c>
      <c r="Q61" s="17" t="s">
        <v>121</v>
      </c>
      <c r="R61" s="17">
        <v>4</v>
      </c>
    </row>
    <row r="62" spans="1:18" x14ac:dyDescent="0.2">
      <c r="A62" s="18" t="s">
        <v>341</v>
      </c>
      <c r="B62" s="17" t="s">
        <v>342</v>
      </c>
      <c r="C62" s="18" t="s">
        <v>341</v>
      </c>
      <c r="D62" s="17" t="s">
        <v>343</v>
      </c>
      <c r="E62" s="17" t="s">
        <v>344</v>
      </c>
      <c r="F62" s="17" t="s">
        <v>342</v>
      </c>
      <c r="G62" s="19">
        <v>38718</v>
      </c>
      <c r="I62" s="17" t="s">
        <v>120</v>
      </c>
      <c r="J62" s="17" t="s">
        <v>146</v>
      </c>
      <c r="K62" s="17" t="s">
        <v>95</v>
      </c>
      <c r="L62" s="17" t="s">
        <v>48</v>
      </c>
      <c r="M62" s="17" t="s">
        <v>49</v>
      </c>
      <c r="N62" s="17" t="s">
        <v>50</v>
      </c>
      <c r="O62" s="17" t="s">
        <v>147</v>
      </c>
      <c r="P62" s="17" t="s">
        <v>68</v>
      </c>
      <c r="Q62" s="17" t="s">
        <v>121</v>
      </c>
      <c r="R62" s="17">
        <v>5</v>
      </c>
    </row>
    <row r="63" spans="1:18" x14ac:dyDescent="0.2">
      <c r="A63" s="18" t="s">
        <v>345</v>
      </c>
      <c r="B63" s="17" t="s">
        <v>346</v>
      </c>
      <c r="C63" s="18" t="s">
        <v>345</v>
      </c>
      <c r="D63" s="17" t="s">
        <v>347</v>
      </c>
      <c r="E63" s="17" t="s">
        <v>348</v>
      </c>
      <c r="F63" s="17" t="s">
        <v>346</v>
      </c>
      <c r="G63" s="19">
        <v>38718</v>
      </c>
      <c r="I63" s="17" t="s">
        <v>120</v>
      </c>
      <c r="J63" s="17" t="s">
        <v>146</v>
      </c>
      <c r="K63" s="17" t="s">
        <v>95</v>
      </c>
      <c r="L63" s="17" t="s">
        <v>48</v>
      </c>
      <c r="M63" s="17" t="s">
        <v>49</v>
      </c>
      <c r="N63" s="17" t="s">
        <v>50</v>
      </c>
      <c r="O63" s="17" t="s">
        <v>147</v>
      </c>
      <c r="P63" s="17" t="s">
        <v>68</v>
      </c>
      <c r="Q63" s="17" t="s">
        <v>121</v>
      </c>
      <c r="R63" s="17">
        <v>5</v>
      </c>
    </row>
    <row r="64" spans="1:18" x14ac:dyDescent="0.2">
      <c r="A64" s="18" t="s">
        <v>349</v>
      </c>
      <c r="B64" s="17" t="s">
        <v>350</v>
      </c>
      <c r="C64" s="18" t="s">
        <v>349</v>
      </c>
      <c r="D64" s="17" t="s">
        <v>351</v>
      </c>
      <c r="E64" s="17" t="s">
        <v>352</v>
      </c>
      <c r="F64" s="17" t="s">
        <v>350</v>
      </c>
      <c r="G64" s="19">
        <v>38761</v>
      </c>
      <c r="I64" s="17" t="s">
        <v>157</v>
      </c>
      <c r="J64" s="17" t="s">
        <v>114</v>
      </c>
      <c r="K64" s="17" t="s">
        <v>95</v>
      </c>
      <c r="L64" s="17" t="s">
        <v>115</v>
      </c>
      <c r="M64" s="17" t="s">
        <v>49</v>
      </c>
      <c r="N64" s="17" t="s">
        <v>50</v>
      </c>
      <c r="O64" s="17" t="s">
        <v>51</v>
      </c>
      <c r="P64" s="17" t="s">
        <v>52</v>
      </c>
      <c r="Q64" s="17" t="s">
        <v>61</v>
      </c>
      <c r="R64" s="17">
        <v>1</v>
      </c>
    </row>
    <row r="65" spans="1:18" x14ac:dyDescent="0.2">
      <c r="A65" s="18" t="s">
        <v>353</v>
      </c>
      <c r="B65" s="17" t="s">
        <v>354</v>
      </c>
      <c r="C65" s="18" t="s">
        <v>353</v>
      </c>
      <c r="D65" s="17" t="s">
        <v>355</v>
      </c>
      <c r="E65" s="17" t="s">
        <v>356</v>
      </c>
      <c r="F65" s="17" t="s">
        <v>354</v>
      </c>
      <c r="G65" s="19">
        <v>38768</v>
      </c>
      <c r="I65" s="17" t="s">
        <v>120</v>
      </c>
      <c r="J65" s="17" t="s">
        <v>114</v>
      </c>
      <c r="K65" s="17" t="s">
        <v>95</v>
      </c>
      <c r="L65" s="17" t="s">
        <v>115</v>
      </c>
      <c r="M65" s="17" t="s">
        <v>49</v>
      </c>
      <c r="N65" s="17" t="s">
        <v>50</v>
      </c>
      <c r="O65" s="17" t="s">
        <v>51</v>
      </c>
      <c r="P65" s="17" t="s">
        <v>68</v>
      </c>
      <c r="Q65" s="17" t="s">
        <v>121</v>
      </c>
      <c r="R65" s="17">
        <v>3</v>
      </c>
    </row>
    <row r="66" spans="1:18" x14ac:dyDescent="0.2">
      <c r="A66" s="18" t="s">
        <v>357</v>
      </c>
      <c r="B66" s="17" t="s">
        <v>358</v>
      </c>
      <c r="C66" s="18" t="s">
        <v>357</v>
      </c>
      <c r="D66" s="17" t="s">
        <v>359</v>
      </c>
      <c r="E66" s="17" t="s">
        <v>360</v>
      </c>
      <c r="F66" s="17" t="s">
        <v>358</v>
      </c>
      <c r="G66" s="19">
        <v>38768</v>
      </c>
      <c r="I66" s="17" t="s">
        <v>120</v>
      </c>
      <c r="J66" s="17" t="s">
        <v>114</v>
      </c>
      <c r="K66" s="17" t="s">
        <v>95</v>
      </c>
      <c r="L66" s="17" t="s">
        <v>115</v>
      </c>
      <c r="M66" s="17" t="s">
        <v>49</v>
      </c>
      <c r="N66" s="17" t="s">
        <v>50</v>
      </c>
      <c r="O66" s="17" t="s">
        <v>51</v>
      </c>
      <c r="P66" s="17" t="s">
        <v>68</v>
      </c>
      <c r="Q66" s="17" t="s">
        <v>121</v>
      </c>
      <c r="R66" s="17">
        <v>3</v>
      </c>
    </row>
    <row r="67" spans="1:18" x14ac:dyDescent="0.2">
      <c r="A67" s="18" t="s">
        <v>361</v>
      </c>
      <c r="B67" s="17" t="s">
        <v>362</v>
      </c>
      <c r="C67" s="18" t="s">
        <v>361</v>
      </c>
      <c r="D67" s="17" t="s">
        <v>363</v>
      </c>
      <c r="E67" s="17" t="s">
        <v>364</v>
      </c>
      <c r="F67" s="17" t="s">
        <v>362</v>
      </c>
      <c r="G67" s="19">
        <v>38768</v>
      </c>
      <c r="I67" s="17" t="s">
        <v>153</v>
      </c>
      <c r="J67" s="17" t="s">
        <v>114</v>
      </c>
      <c r="K67" s="17" t="s">
        <v>95</v>
      </c>
      <c r="L67" s="17" t="s">
        <v>115</v>
      </c>
      <c r="M67" s="17" t="s">
        <v>77</v>
      </c>
      <c r="N67" s="17" t="s">
        <v>50</v>
      </c>
      <c r="O67" s="17" t="s">
        <v>51</v>
      </c>
      <c r="P67" s="17" t="s">
        <v>68</v>
      </c>
      <c r="Q67" s="17" t="s">
        <v>154</v>
      </c>
      <c r="R67" s="17">
        <v>4</v>
      </c>
    </row>
    <row r="68" spans="1:18" x14ac:dyDescent="0.2">
      <c r="A68" s="18" t="s">
        <v>365</v>
      </c>
      <c r="B68" s="17" t="s">
        <v>366</v>
      </c>
      <c r="C68" s="18" t="s">
        <v>365</v>
      </c>
      <c r="D68" s="17" t="s">
        <v>367</v>
      </c>
      <c r="E68" s="17" t="s">
        <v>368</v>
      </c>
      <c r="F68" s="17" t="s">
        <v>366</v>
      </c>
      <c r="G68" s="19">
        <v>38952</v>
      </c>
      <c r="I68" s="17" t="s">
        <v>369</v>
      </c>
      <c r="J68" s="17" t="s">
        <v>114</v>
      </c>
      <c r="K68" s="17" t="s">
        <v>95</v>
      </c>
      <c r="L68" s="17" t="s">
        <v>115</v>
      </c>
      <c r="M68" s="17" t="s">
        <v>49</v>
      </c>
      <c r="N68" s="17" t="s">
        <v>50</v>
      </c>
      <c r="O68" s="17" t="s">
        <v>51</v>
      </c>
      <c r="P68" s="17" t="s">
        <v>68</v>
      </c>
      <c r="Q68" s="17" t="s">
        <v>148</v>
      </c>
      <c r="R68" s="17">
        <v>6</v>
      </c>
    </row>
    <row r="69" spans="1:18" x14ac:dyDescent="0.2">
      <c r="A69" s="18" t="s">
        <v>370</v>
      </c>
      <c r="B69" s="17" t="s">
        <v>371</v>
      </c>
      <c r="C69" s="18" t="s">
        <v>370</v>
      </c>
      <c r="D69" s="17" t="s">
        <v>372</v>
      </c>
      <c r="E69" s="17" t="s">
        <v>373</v>
      </c>
      <c r="F69" s="17" t="s">
        <v>371</v>
      </c>
      <c r="G69" s="19">
        <v>39232</v>
      </c>
      <c r="I69" s="17" t="s">
        <v>369</v>
      </c>
      <c r="J69" s="17" t="s">
        <v>114</v>
      </c>
      <c r="K69" s="17" t="s">
        <v>95</v>
      </c>
      <c r="L69" s="17" t="s">
        <v>115</v>
      </c>
      <c r="M69" s="17" t="s">
        <v>49</v>
      </c>
      <c r="N69" s="17" t="s">
        <v>50</v>
      </c>
      <c r="O69" s="17" t="s">
        <v>51</v>
      </c>
      <c r="P69" s="17" t="s">
        <v>68</v>
      </c>
      <c r="Q69" s="17" t="s">
        <v>148</v>
      </c>
      <c r="R69" s="17">
        <v>6</v>
      </c>
    </row>
    <row r="70" spans="1:18" x14ac:dyDescent="0.2">
      <c r="A70" s="18" t="s">
        <v>374</v>
      </c>
      <c r="B70" s="17" t="s">
        <v>375</v>
      </c>
      <c r="C70" s="18" t="s">
        <v>374</v>
      </c>
      <c r="D70" s="17" t="s">
        <v>231</v>
      </c>
      <c r="E70" s="17" t="s">
        <v>376</v>
      </c>
      <c r="F70" s="17" t="s">
        <v>375</v>
      </c>
      <c r="G70" s="19">
        <v>39295</v>
      </c>
      <c r="I70" s="17" t="s">
        <v>172</v>
      </c>
      <c r="J70" s="17" t="s">
        <v>114</v>
      </c>
      <c r="K70" s="17" t="s">
        <v>95</v>
      </c>
      <c r="L70" s="17" t="s">
        <v>48</v>
      </c>
      <c r="M70" s="17" t="s">
        <v>77</v>
      </c>
      <c r="N70" s="17" t="s">
        <v>50</v>
      </c>
      <c r="O70" s="17" t="s">
        <v>51</v>
      </c>
      <c r="P70" s="17" t="s">
        <v>68</v>
      </c>
      <c r="Q70" s="17" t="s">
        <v>154</v>
      </c>
      <c r="R70" s="17">
        <v>5</v>
      </c>
    </row>
    <row r="71" spans="1:18" x14ac:dyDescent="0.2">
      <c r="A71" s="18" t="s">
        <v>377</v>
      </c>
      <c r="B71" s="17" t="s">
        <v>378</v>
      </c>
      <c r="C71" s="18" t="s">
        <v>377</v>
      </c>
      <c r="D71" s="17" t="s">
        <v>379</v>
      </c>
      <c r="E71" s="17" t="s">
        <v>380</v>
      </c>
      <c r="F71" s="17" t="s">
        <v>378</v>
      </c>
      <c r="G71" s="19">
        <v>39295</v>
      </c>
      <c r="I71" s="17" t="s">
        <v>133</v>
      </c>
      <c r="J71" s="17" t="s">
        <v>114</v>
      </c>
      <c r="K71" s="17" t="s">
        <v>95</v>
      </c>
      <c r="L71" s="17" t="s">
        <v>48</v>
      </c>
      <c r="M71" s="17" t="s">
        <v>77</v>
      </c>
      <c r="N71" s="17" t="s">
        <v>50</v>
      </c>
      <c r="O71" s="17" t="s">
        <v>51</v>
      </c>
      <c r="P71" s="17" t="s">
        <v>68</v>
      </c>
      <c r="Q71" s="17" t="s">
        <v>134</v>
      </c>
      <c r="R71" s="17">
        <v>2</v>
      </c>
    </row>
    <row r="72" spans="1:18" x14ac:dyDescent="0.2">
      <c r="A72" s="18" t="s">
        <v>381</v>
      </c>
      <c r="B72" s="17" t="s">
        <v>382</v>
      </c>
      <c r="C72" s="18" t="s">
        <v>381</v>
      </c>
      <c r="D72" s="17" t="s">
        <v>383</v>
      </c>
      <c r="E72" s="17" t="s">
        <v>384</v>
      </c>
      <c r="F72" s="17" t="s">
        <v>382</v>
      </c>
      <c r="G72" s="19">
        <v>39340</v>
      </c>
      <c r="I72" s="17" t="s">
        <v>172</v>
      </c>
      <c r="J72" s="17" t="s">
        <v>114</v>
      </c>
      <c r="K72" s="17" t="s">
        <v>95</v>
      </c>
      <c r="L72" s="17" t="s">
        <v>48</v>
      </c>
      <c r="M72" s="17" t="s">
        <v>77</v>
      </c>
      <c r="N72" s="17" t="s">
        <v>50</v>
      </c>
      <c r="O72" s="17" t="s">
        <v>51</v>
      </c>
      <c r="P72" s="17" t="s">
        <v>68</v>
      </c>
      <c r="Q72" s="17" t="s">
        <v>154</v>
      </c>
      <c r="R72" s="17">
        <v>4</v>
      </c>
    </row>
    <row r="73" spans="1:18" x14ac:dyDescent="0.2">
      <c r="A73" s="18" t="s">
        <v>385</v>
      </c>
      <c r="B73" s="17" t="s">
        <v>386</v>
      </c>
      <c r="C73" s="18" t="s">
        <v>385</v>
      </c>
      <c r="D73" s="17" t="s">
        <v>387</v>
      </c>
      <c r="E73" s="17" t="s">
        <v>388</v>
      </c>
      <c r="F73" s="17" t="s">
        <v>386</v>
      </c>
      <c r="G73" s="19">
        <v>39344</v>
      </c>
      <c r="I73" s="17" t="s">
        <v>126</v>
      </c>
      <c r="J73" s="17" t="s">
        <v>127</v>
      </c>
      <c r="K73" s="17" t="s">
        <v>67</v>
      </c>
      <c r="L73" s="17" t="s">
        <v>48</v>
      </c>
      <c r="M73" s="17" t="s">
        <v>49</v>
      </c>
      <c r="N73" s="17" t="s">
        <v>50</v>
      </c>
      <c r="O73" s="17" t="s">
        <v>51</v>
      </c>
      <c r="P73" s="17" t="s">
        <v>68</v>
      </c>
      <c r="Q73" s="17" t="s">
        <v>128</v>
      </c>
      <c r="R73" s="17">
        <v>1</v>
      </c>
    </row>
    <row r="74" spans="1:18" x14ac:dyDescent="0.2">
      <c r="A74" s="18" t="s">
        <v>389</v>
      </c>
      <c r="B74" s="17" t="s">
        <v>390</v>
      </c>
      <c r="C74" s="18" t="s">
        <v>389</v>
      </c>
      <c r="D74" s="17" t="s">
        <v>391</v>
      </c>
      <c r="E74" s="17" t="s">
        <v>392</v>
      </c>
      <c r="F74" s="17" t="s">
        <v>390</v>
      </c>
      <c r="G74" s="19">
        <v>39345</v>
      </c>
      <c r="I74" s="17" t="s">
        <v>120</v>
      </c>
      <c r="J74" s="17" t="s">
        <v>114</v>
      </c>
      <c r="K74" s="17" t="s">
        <v>95</v>
      </c>
      <c r="L74" s="17" t="s">
        <v>115</v>
      </c>
      <c r="M74" s="17" t="s">
        <v>49</v>
      </c>
      <c r="N74" s="17" t="s">
        <v>50</v>
      </c>
      <c r="O74" s="17" t="s">
        <v>51</v>
      </c>
      <c r="P74" s="17" t="s">
        <v>68</v>
      </c>
      <c r="Q74" s="17" t="s">
        <v>121</v>
      </c>
      <c r="R74" s="17">
        <v>4</v>
      </c>
    </row>
    <row r="75" spans="1:18" x14ac:dyDescent="0.2">
      <c r="A75" s="18" t="s">
        <v>393</v>
      </c>
      <c r="B75" s="17" t="s">
        <v>394</v>
      </c>
      <c r="C75" s="18" t="s">
        <v>393</v>
      </c>
      <c r="D75" s="17" t="s">
        <v>395</v>
      </c>
      <c r="E75" s="17" t="s">
        <v>376</v>
      </c>
      <c r="F75" s="17" t="s">
        <v>394</v>
      </c>
      <c r="G75" s="19">
        <v>39388</v>
      </c>
      <c r="I75" s="17" t="s">
        <v>396</v>
      </c>
      <c r="J75" s="17" t="s">
        <v>84</v>
      </c>
      <c r="K75" s="17" t="s">
        <v>67</v>
      </c>
      <c r="L75" s="17" t="s">
        <v>115</v>
      </c>
      <c r="M75" s="17" t="s">
        <v>77</v>
      </c>
      <c r="N75" s="17" t="s">
        <v>50</v>
      </c>
      <c r="O75" s="17" t="s">
        <v>51</v>
      </c>
      <c r="P75" s="17" t="s">
        <v>68</v>
      </c>
      <c r="Q75" s="17" t="s">
        <v>134</v>
      </c>
      <c r="R75" s="17">
        <v>6</v>
      </c>
    </row>
    <row r="76" spans="1:18" x14ac:dyDescent="0.2">
      <c r="A76" s="18" t="s">
        <v>397</v>
      </c>
      <c r="B76" s="17" t="s">
        <v>398</v>
      </c>
      <c r="C76" s="18" t="s">
        <v>397</v>
      </c>
      <c r="D76" s="17" t="s">
        <v>399</v>
      </c>
      <c r="E76" s="17" t="s">
        <v>400</v>
      </c>
      <c r="F76" s="17" t="s">
        <v>398</v>
      </c>
      <c r="G76" s="19">
        <v>39407</v>
      </c>
      <c r="I76" s="17" t="s">
        <v>153</v>
      </c>
      <c r="J76" s="17" t="s">
        <v>114</v>
      </c>
      <c r="K76" s="17" t="s">
        <v>95</v>
      </c>
      <c r="L76" s="17" t="s">
        <v>115</v>
      </c>
      <c r="M76" s="17" t="s">
        <v>77</v>
      </c>
      <c r="N76" s="17" t="s">
        <v>50</v>
      </c>
      <c r="O76" s="17" t="s">
        <v>51</v>
      </c>
      <c r="P76" s="17" t="s">
        <v>68</v>
      </c>
      <c r="Q76" s="17" t="s">
        <v>154</v>
      </c>
      <c r="R76" s="17">
        <v>3</v>
      </c>
    </row>
    <row r="77" spans="1:18" x14ac:dyDescent="0.2">
      <c r="A77" s="18" t="s">
        <v>401</v>
      </c>
      <c r="B77" s="17" t="s">
        <v>402</v>
      </c>
      <c r="C77" s="18" t="s">
        <v>401</v>
      </c>
      <c r="D77" s="17" t="s">
        <v>403</v>
      </c>
      <c r="E77" s="17" t="s">
        <v>404</v>
      </c>
      <c r="F77" s="17" t="s">
        <v>402</v>
      </c>
      <c r="G77" s="19">
        <v>39608</v>
      </c>
      <c r="I77" s="17" t="s">
        <v>162</v>
      </c>
      <c r="J77" s="17" t="s">
        <v>107</v>
      </c>
      <c r="K77" s="17" t="s">
        <v>67</v>
      </c>
      <c r="L77" s="17" t="s">
        <v>115</v>
      </c>
      <c r="M77" s="17" t="s">
        <v>77</v>
      </c>
      <c r="N77" s="17" t="s">
        <v>50</v>
      </c>
      <c r="O77" s="17" t="s">
        <v>51</v>
      </c>
      <c r="P77" s="17" t="s">
        <v>68</v>
      </c>
      <c r="Q77" s="17" t="s">
        <v>148</v>
      </c>
      <c r="R77" s="17">
        <v>2</v>
      </c>
    </row>
    <row r="78" spans="1:18" x14ac:dyDescent="0.2">
      <c r="A78" s="18" t="s">
        <v>405</v>
      </c>
      <c r="B78" s="17" t="s">
        <v>406</v>
      </c>
      <c r="C78" s="18" t="s">
        <v>405</v>
      </c>
      <c r="D78" s="17" t="s">
        <v>407</v>
      </c>
      <c r="E78" s="17" t="s">
        <v>408</v>
      </c>
      <c r="F78" s="17" t="s">
        <v>406</v>
      </c>
      <c r="G78" s="19">
        <v>39608</v>
      </c>
      <c r="I78" s="17" t="s">
        <v>409</v>
      </c>
      <c r="J78" s="17" t="s">
        <v>410</v>
      </c>
      <c r="K78" s="17" t="s">
        <v>89</v>
      </c>
      <c r="L78" s="17" t="s">
        <v>48</v>
      </c>
      <c r="M78" s="17" t="s">
        <v>77</v>
      </c>
      <c r="N78" s="17" t="s">
        <v>50</v>
      </c>
      <c r="O78" s="17" t="s">
        <v>51</v>
      </c>
      <c r="P78" s="17" t="s">
        <v>68</v>
      </c>
      <c r="Q78" s="17" t="s">
        <v>69</v>
      </c>
      <c r="R78" s="17">
        <v>3</v>
      </c>
    </row>
    <row r="79" spans="1:18" x14ac:dyDescent="0.2">
      <c r="A79" s="18" t="s">
        <v>411</v>
      </c>
      <c r="B79" s="17" t="s">
        <v>412</v>
      </c>
      <c r="C79" s="18" t="s">
        <v>411</v>
      </c>
      <c r="D79" s="17" t="s">
        <v>413</v>
      </c>
      <c r="E79" s="17" t="s">
        <v>414</v>
      </c>
      <c r="F79" s="17" t="s">
        <v>412</v>
      </c>
      <c r="G79" s="19">
        <v>39608</v>
      </c>
      <c r="I79" s="17" t="s">
        <v>139</v>
      </c>
      <c r="J79" s="17" t="s">
        <v>114</v>
      </c>
      <c r="K79" s="17" t="s">
        <v>95</v>
      </c>
      <c r="L79" s="17" t="s">
        <v>115</v>
      </c>
      <c r="M79" s="17" t="s">
        <v>77</v>
      </c>
      <c r="N79" s="17" t="s">
        <v>50</v>
      </c>
      <c r="O79" s="17" t="s">
        <v>51</v>
      </c>
      <c r="P79" s="17" t="s">
        <v>68</v>
      </c>
      <c r="Q79" s="17" t="s">
        <v>128</v>
      </c>
      <c r="R79" s="17">
        <v>6</v>
      </c>
    </row>
    <row r="80" spans="1:18" x14ac:dyDescent="0.2">
      <c r="A80" s="18" t="s">
        <v>415</v>
      </c>
      <c r="B80" s="17" t="s">
        <v>416</v>
      </c>
      <c r="C80" s="18" t="s">
        <v>415</v>
      </c>
      <c r="D80" s="17" t="s">
        <v>417</v>
      </c>
      <c r="E80" s="17" t="s">
        <v>418</v>
      </c>
      <c r="F80" s="17" t="s">
        <v>416</v>
      </c>
      <c r="G80" s="19">
        <v>39608</v>
      </c>
      <c r="I80" s="17" t="s">
        <v>139</v>
      </c>
      <c r="J80" s="17" t="s">
        <v>114</v>
      </c>
      <c r="K80" s="17" t="s">
        <v>95</v>
      </c>
      <c r="L80" s="17" t="s">
        <v>115</v>
      </c>
      <c r="M80" s="17" t="s">
        <v>77</v>
      </c>
      <c r="N80" s="17" t="s">
        <v>50</v>
      </c>
      <c r="O80" s="17" t="s">
        <v>51</v>
      </c>
      <c r="P80" s="17" t="s">
        <v>68</v>
      </c>
      <c r="Q80" s="17" t="s">
        <v>128</v>
      </c>
      <c r="R80" s="17">
        <v>1</v>
      </c>
    </row>
    <row r="81" spans="1:18" x14ac:dyDescent="0.2">
      <c r="A81" s="18" t="s">
        <v>419</v>
      </c>
      <c r="B81" s="17" t="s">
        <v>420</v>
      </c>
      <c r="C81" s="18" t="s">
        <v>419</v>
      </c>
      <c r="D81" s="17" t="s">
        <v>421</v>
      </c>
      <c r="E81" s="17" t="s">
        <v>422</v>
      </c>
      <c r="F81" s="17" t="s">
        <v>420</v>
      </c>
      <c r="G81" s="19">
        <v>39608</v>
      </c>
      <c r="I81" s="17" t="s">
        <v>162</v>
      </c>
      <c r="J81" s="17" t="s">
        <v>107</v>
      </c>
      <c r="K81" s="17" t="s">
        <v>67</v>
      </c>
      <c r="L81" s="17" t="s">
        <v>115</v>
      </c>
      <c r="M81" s="17" t="s">
        <v>77</v>
      </c>
      <c r="N81" s="17" t="s">
        <v>50</v>
      </c>
      <c r="O81" s="17" t="s">
        <v>51</v>
      </c>
      <c r="P81" s="17" t="s">
        <v>68</v>
      </c>
      <c r="Q81" s="17" t="s">
        <v>148</v>
      </c>
      <c r="R81" s="17">
        <v>5</v>
      </c>
    </row>
    <row r="82" spans="1:18" x14ac:dyDescent="0.2">
      <c r="A82" s="18" t="s">
        <v>423</v>
      </c>
      <c r="B82" s="17" t="s">
        <v>424</v>
      </c>
      <c r="C82" s="18" t="s">
        <v>423</v>
      </c>
      <c r="D82" s="17" t="s">
        <v>425</v>
      </c>
      <c r="E82" s="17" t="s">
        <v>426</v>
      </c>
      <c r="F82" s="17" t="s">
        <v>424</v>
      </c>
      <c r="G82" s="19">
        <v>39713</v>
      </c>
      <c r="I82" s="17" t="s">
        <v>427</v>
      </c>
      <c r="J82" s="17" t="s">
        <v>428</v>
      </c>
      <c r="K82" s="17" t="s">
        <v>76</v>
      </c>
      <c r="L82" s="17" t="s">
        <v>48</v>
      </c>
      <c r="M82" s="17" t="s">
        <v>77</v>
      </c>
      <c r="N82" s="17" t="s">
        <v>50</v>
      </c>
      <c r="O82" s="17" t="s">
        <v>51</v>
      </c>
      <c r="P82" s="17" t="s">
        <v>52</v>
      </c>
      <c r="Q82" s="17" t="s">
        <v>53</v>
      </c>
      <c r="R82" s="17">
        <v>7</v>
      </c>
    </row>
    <row r="83" spans="1:18" x14ac:dyDescent="0.2">
      <c r="A83" s="18" t="s">
        <v>429</v>
      </c>
      <c r="B83" s="17" t="s">
        <v>430</v>
      </c>
      <c r="C83" s="18" t="s">
        <v>429</v>
      </c>
      <c r="D83" s="17" t="s">
        <v>431</v>
      </c>
      <c r="E83" s="17" t="s">
        <v>432</v>
      </c>
      <c r="F83" s="17" t="s">
        <v>430</v>
      </c>
      <c r="G83" s="19">
        <v>39722</v>
      </c>
      <c r="I83" s="17" t="s">
        <v>433</v>
      </c>
      <c r="J83" s="17" t="s">
        <v>114</v>
      </c>
      <c r="K83" s="17" t="s">
        <v>95</v>
      </c>
      <c r="L83" s="17" t="s">
        <v>48</v>
      </c>
      <c r="M83" s="17" t="s">
        <v>77</v>
      </c>
      <c r="N83" s="17" t="s">
        <v>50</v>
      </c>
      <c r="O83" s="17" t="s">
        <v>147</v>
      </c>
      <c r="P83" s="17" t="s">
        <v>68</v>
      </c>
      <c r="Q83" s="17" t="s">
        <v>53</v>
      </c>
      <c r="R83" s="17">
        <v>1</v>
      </c>
    </row>
    <row r="84" spans="1:18" x14ac:dyDescent="0.2">
      <c r="A84" s="18" t="s">
        <v>434</v>
      </c>
      <c r="B84" s="17" t="s">
        <v>435</v>
      </c>
      <c r="C84" s="18" t="s">
        <v>434</v>
      </c>
      <c r="D84" s="17" t="s">
        <v>436</v>
      </c>
      <c r="E84" s="17" t="s">
        <v>437</v>
      </c>
      <c r="F84" s="17" t="s">
        <v>435</v>
      </c>
      <c r="G84" s="19">
        <v>39722</v>
      </c>
      <c r="I84" s="17" t="s">
        <v>280</v>
      </c>
      <c r="J84" s="17" t="s">
        <v>114</v>
      </c>
      <c r="K84" s="17" t="s">
        <v>95</v>
      </c>
      <c r="L84" s="17" t="s">
        <v>115</v>
      </c>
      <c r="M84" s="17" t="s">
        <v>77</v>
      </c>
      <c r="N84" s="17" t="s">
        <v>50</v>
      </c>
      <c r="O84" s="17" t="s">
        <v>51</v>
      </c>
      <c r="P84" s="17" t="s">
        <v>68</v>
      </c>
      <c r="Q84" s="17" t="s">
        <v>69</v>
      </c>
      <c r="R84" s="17">
        <v>1</v>
      </c>
    </row>
    <row r="85" spans="1:18" x14ac:dyDescent="0.2">
      <c r="A85" s="18" t="s">
        <v>438</v>
      </c>
      <c r="B85" s="17" t="s">
        <v>439</v>
      </c>
      <c r="C85" s="18" t="s">
        <v>438</v>
      </c>
      <c r="D85" s="17" t="s">
        <v>440</v>
      </c>
      <c r="E85" s="17" t="s">
        <v>441</v>
      </c>
      <c r="F85" s="17" t="s">
        <v>439</v>
      </c>
      <c r="G85" s="19">
        <v>39722</v>
      </c>
      <c r="I85" s="17" t="s">
        <v>280</v>
      </c>
      <c r="J85" s="17" t="s">
        <v>114</v>
      </c>
      <c r="K85" s="17" t="s">
        <v>95</v>
      </c>
      <c r="L85" s="17" t="s">
        <v>115</v>
      </c>
      <c r="M85" s="17" t="s">
        <v>77</v>
      </c>
      <c r="N85" s="17" t="s">
        <v>50</v>
      </c>
      <c r="O85" s="17" t="s">
        <v>51</v>
      </c>
      <c r="P85" s="17" t="s">
        <v>68</v>
      </c>
      <c r="Q85" s="17" t="s">
        <v>69</v>
      </c>
      <c r="R85" s="17">
        <v>1</v>
      </c>
    </row>
    <row r="86" spans="1:18" x14ac:dyDescent="0.2">
      <c r="A86" s="18" t="s">
        <v>442</v>
      </c>
      <c r="B86" s="17" t="s">
        <v>443</v>
      </c>
      <c r="C86" s="18" t="s">
        <v>442</v>
      </c>
      <c r="D86" s="17" t="s">
        <v>444</v>
      </c>
      <c r="E86" s="17" t="s">
        <v>445</v>
      </c>
      <c r="F86" s="17" t="s">
        <v>443</v>
      </c>
      <c r="G86" s="19">
        <v>39722</v>
      </c>
      <c r="I86" s="17" t="s">
        <v>120</v>
      </c>
      <c r="J86" s="17" t="s">
        <v>114</v>
      </c>
      <c r="K86" s="17" t="s">
        <v>95</v>
      </c>
      <c r="L86" s="17" t="s">
        <v>115</v>
      </c>
      <c r="M86" s="17" t="s">
        <v>49</v>
      </c>
      <c r="N86" s="17" t="s">
        <v>50</v>
      </c>
      <c r="O86" s="17" t="s">
        <v>51</v>
      </c>
      <c r="P86" s="17" t="s">
        <v>68</v>
      </c>
      <c r="Q86" s="17" t="s">
        <v>121</v>
      </c>
      <c r="R86" s="17">
        <v>5</v>
      </c>
    </row>
    <row r="87" spans="1:18" x14ac:dyDescent="0.2">
      <c r="A87" s="18" t="s">
        <v>446</v>
      </c>
      <c r="B87" s="17" t="s">
        <v>447</v>
      </c>
      <c r="C87" s="18" t="s">
        <v>446</v>
      </c>
      <c r="D87" s="17" t="s">
        <v>448</v>
      </c>
      <c r="E87" s="17" t="s">
        <v>449</v>
      </c>
      <c r="F87" s="17" t="s">
        <v>447</v>
      </c>
      <c r="G87" s="19">
        <v>39722</v>
      </c>
      <c r="I87" s="17" t="s">
        <v>450</v>
      </c>
      <c r="J87" s="17" t="s">
        <v>451</v>
      </c>
      <c r="K87" s="17" t="s">
        <v>76</v>
      </c>
      <c r="L87" s="17" t="s">
        <v>48</v>
      </c>
      <c r="M87" s="17" t="s">
        <v>49</v>
      </c>
      <c r="N87" s="17" t="s">
        <v>50</v>
      </c>
      <c r="O87" s="17" t="s">
        <v>51</v>
      </c>
      <c r="P87" s="17" t="s">
        <v>68</v>
      </c>
      <c r="Q87" s="17" t="s">
        <v>148</v>
      </c>
      <c r="R87" s="17">
        <v>6</v>
      </c>
    </row>
    <row r="88" spans="1:18" x14ac:dyDescent="0.2">
      <c r="A88" s="18" t="s">
        <v>452</v>
      </c>
      <c r="B88" s="17" t="s">
        <v>453</v>
      </c>
      <c r="C88" s="18" t="s">
        <v>452</v>
      </c>
      <c r="D88" s="17" t="s">
        <v>454</v>
      </c>
      <c r="E88" s="17" t="s">
        <v>455</v>
      </c>
      <c r="F88" s="17" t="s">
        <v>453</v>
      </c>
      <c r="G88" s="19">
        <v>39722</v>
      </c>
      <c r="I88" s="17" t="s">
        <v>120</v>
      </c>
      <c r="J88" s="17" t="s">
        <v>114</v>
      </c>
      <c r="K88" s="17" t="s">
        <v>95</v>
      </c>
      <c r="L88" s="17" t="s">
        <v>115</v>
      </c>
      <c r="M88" s="17" t="s">
        <v>49</v>
      </c>
      <c r="N88" s="17" t="s">
        <v>50</v>
      </c>
      <c r="O88" s="17" t="s">
        <v>51</v>
      </c>
      <c r="P88" s="17" t="s">
        <v>68</v>
      </c>
      <c r="Q88" s="17" t="s">
        <v>121</v>
      </c>
      <c r="R88" s="17">
        <v>5</v>
      </c>
    </row>
    <row r="89" spans="1:18" x14ac:dyDescent="0.2">
      <c r="A89" s="18" t="s">
        <v>456</v>
      </c>
      <c r="B89" s="17" t="s">
        <v>457</v>
      </c>
      <c r="C89" s="18" t="s">
        <v>456</v>
      </c>
      <c r="D89" s="17" t="s">
        <v>213</v>
      </c>
      <c r="E89" s="17" t="s">
        <v>458</v>
      </c>
      <c r="F89" s="17" t="s">
        <v>457</v>
      </c>
      <c r="G89" s="19">
        <v>39722</v>
      </c>
      <c r="I89" s="17" t="s">
        <v>120</v>
      </c>
      <c r="J89" s="17" t="s">
        <v>114</v>
      </c>
      <c r="K89" s="17" t="s">
        <v>95</v>
      </c>
      <c r="L89" s="17" t="s">
        <v>115</v>
      </c>
      <c r="M89" s="17" t="s">
        <v>49</v>
      </c>
      <c r="N89" s="17" t="s">
        <v>50</v>
      </c>
      <c r="O89" s="17" t="s">
        <v>51</v>
      </c>
      <c r="P89" s="17" t="s">
        <v>68</v>
      </c>
      <c r="Q89" s="17" t="s">
        <v>121</v>
      </c>
      <c r="R89" s="17">
        <v>3</v>
      </c>
    </row>
    <row r="90" spans="1:18" x14ac:dyDescent="0.2">
      <c r="A90" s="18" t="s">
        <v>459</v>
      </c>
      <c r="B90" s="17" t="s">
        <v>460</v>
      </c>
      <c r="C90" s="18" t="s">
        <v>459</v>
      </c>
      <c r="D90" s="17" t="s">
        <v>461</v>
      </c>
      <c r="E90" s="17" t="s">
        <v>462</v>
      </c>
      <c r="F90" s="17" t="s">
        <v>460</v>
      </c>
      <c r="G90" s="19">
        <v>39722</v>
      </c>
      <c r="I90" s="17" t="s">
        <v>153</v>
      </c>
      <c r="J90" s="17" t="s">
        <v>114</v>
      </c>
      <c r="K90" s="17" t="s">
        <v>95</v>
      </c>
      <c r="L90" s="17" t="s">
        <v>115</v>
      </c>
      <c r="M90" s="17" t="s">
        <v>77</v>
      </c>
      <c r="N90" s="17" t="s">
        <v>50</v>
      </c>
      <c r="O90" s="17" t="s">
        <v>51</v>
      </c>
      <c r="P90" s="17" t="s">
        <v>68</v>
      </c>
      <c r="Q90" s="17" t="s">
        <v>154</v>
      </c>
      <c r="R90" s="17">
        <v>3</v>
      </c>
    </row>
    <row r="91" spans="1:18" x14ac:dyDescent="0.2">
      <c r="A91" s="18" t="s">
        <v>463</v>
      </c>
      <c r="B91" s="17" t="s">
        <v>464</v>
      </c>
      <c r="C91" s="18" t="s">
        <v>463</v>
      </c>
      <c r="D91" s="17" t="s">
        <v>465</v>
      </c>
      <c r="E91" s="17" t="s">
        <v>466</v>
      </c>
      <c r="F91" s="17" t="s">
        <v>464</v>
      </c>
      <c r="G91" s="19">
        <v>39722</v>
      </c>
      <c r="I91" s="17" t="s">
        <v>153</v>
      </c>
      <c r="J91" s="17" t="s">
        <v>114</v>
      </c>
      <c r="K91" s="17" t="s">
        <v>95</v>
      </c>
      <c r="L91" s="17" t="s">
        <v>115</v>
      </c>
      <c r="M91" s="17" t="s">
        <v>77</v>
      </c>
      <c r="N91" s="17" t="s">
        <v>50</v>
      </c>
      <c r="O91" s="17" t="s">
        <v>51</v>
      </c>
      <c r="P91" s="17" t="s">
        <v>68</v>
      </c>
      <c r="Q91" s="17" t="s">
        <v>154</v>
      </c>
      <c r="R91" s="17">
        <v>6</v>
      </c>
    </row>
    <row r="92" spans="1:18" x14ac:dyDescent="0.2">
      <c r="A92" s="18" t="s">
        <v>467</v>
      </c>
      <c r="B92" s="17" t="s">
        <v>468</v>
      </c>
      <c r="C92" s="18" t="s">
        <v>467</v>
      </c>
      <c r="D92" s="17" t="s">
        <v>469</v>
      </c>
      <c r="E92" s="17" t="s">
        <v>470</v>
      </c>
      <c r="F92" s="17" t="s">
        <v>468</v>
      </c>
      <c r="G92" s="19">
        <v>39722</v>
      </c>
      <c r="I92" s="17" t="s">
        <v>153</v>
      </c>
      <c r="J92" s="17" t="s">
        <v>114</v>
      </c>
      <c r="K92" s="17" t="s">
        <v>95</v>
      </c>
      <c r="L92" s="17" t="s">
        <v>115</v>
      </c>
      <c r="M92" s="17" t="s">
        <v>77</v>
      </c>
      <c r="N92" s="17" t="s">
        <v>50</v>
      </c>
      <c r="O92" s="17" t="s">
        <v>51</v>
      </c>
      <c r="P92" s="17" t="s">
        <v>68</v>
      </c>
      <c r="Q92" s="17" t="s">
        <v>154</v>
      </c>
      <c r="R92" s="17">
        <v>6</v>
      </c>
    </row>
    <row r="93" spans="1:18" x14ac:dyDescent="0.2">
      <c r="A93" s="18" t="s">
        <v>471</v>
      </c>
      <c r="B93" s="17" t="s">
        <v>472</v>
      </c>
      <c r="C93" s="18" t="s">
        <v>471</v>
      </c>
      <c r="D93" s="17" t="s">
        <v>379</v>
      </c>
      <c r="E93" s="17" t="s">
        <v>473</v>
      </c>
      <c r="F93" s="17" t="s">
        <v>472</v>
      </c>
      <c r="G93" s="19">
        <v>39722</v>
      </c>
      <c r="I93" s="17" t="s">
        <v>153</v>
      </c>
      <c r="J93" s="17" t="s">
        <v>114</v>
      </c>
      <c r="K93" s="17" t="s">
        <v>95</v>
      </c>
      <c r="L93" s="17" t="s">
        <v>115</v>
      </c>
      <c r="M93" s="17" t="s">
        <v>77</v>
      </c>
      <c r="N93" s="17" t="s">
        <v>50</v>
      </c>
      <c r="O93" s="17" t="s">
        <v>51</v>
      </c>
      <c r="P93" s="17" t="s">
        <v>68</v>
      </c>
      <c r="Q93" s="17" t="s">
        <v>154</v>
      </c>
      <c r="R93" s="17">
        <v>7</v>
      </c>
    </row>
    <row r="94" spans="1:18" x14ac:dyDescent="0.2">
      <c r="A94" s="18" t="s">
        <v>474</v>
      </c>
      <c r="B94" s="17" t="s">
        <v>475</v>
      </c>
      <c r="C94" s="18" t="s">
        <v>474</v>
      </c>
      <c r="D94" s="17" t="s">
        <v>476</v>
      </c>
      <c r="E94" s="17" t="s">
        <v>477</v>
      </c>
      <c r="F94" s="17" t="s">
        <v>475</v>
      </c>
      <c r="G94" s="19">
        <v>39815</v>
      </c>
      <c r="I94" s="17" t="s">
        <v>478</v>
      </c>
      <c r="J94" s="17" t="s">
        <v>146</v>
      </c>
      <c r="K94" s="17" t="s">
        <v>95</v>
      </c>
      <c r="L94" s="17" t="s">
        <v>48</v>
      </c>
      <c r="M94" s="17" t="s">
        <v>49</v>
      </c>
      <c r="N94" s="17" t="s">
        <v>50</v>
      </c>
      <c r="O94" s="17" t="s">
        <v>147</v>
      </c>
      <c r="P94" s="17" t="s">
        <v>52</v>
      </c>
      <c r="Q94" s="17" t="s">
        <v>53</v>
      </c>
      <c r="R94" s="17">
        <v>3</v>
      </c>
    </row>
    <row r="95" spans="1:18" x14ac:dyDescent="0.2">
      <c r="A95" s="18" t="s">
        <v>479</v>
      </c>
      <c r="B95" s="17" t="s">
        <v>480</v>
      </c>
      <c r="C95" s="18" t="s">
        <v>479</v>
      </c>
      <c r="D95" s="17" t="s">
        <v>481</v>
      </c>
      <c r="E95" s="17" t="s">
        <v>482</v>
      </c>
      <c r="F95" s="17" t="s">
        <v>480</v>
      </c>
      <c r="G95" s="19">
        <v>39825</v>
      </c>
      <c r="I95" s="17" t="s">
        <v>483</v>
      </c>
      <c r="J95" s="17" t="s">
        <v>95</v>
      </c>
      <c r="K95" s="17" t="s">
        <v>95</v>
      </c>
      <c r="L95" s="17" t="s">
        <v>48</v>
      </c>
      <c r="M95" s="17" t="s">
        <v>49</v>
      </c>
      <c r="N95" s="17" t="s">
        <v>50</v>
      </c>
      <c r="O95" s="17" t="s">
        <v>51</v>
      </c>
      <c r="P95" s="17" t="s">
        <v>52</v>
      </c>
      <c r="Q95" s="17" t="s">
        <v>53</v>
      </c>
      <c r="R95" s="17">
        <v>3</v>
      </c>
    </row>
    <row r="96" spans="1:18" x14ac:dyDescent="0.2">
      <c r="A96" s="18" t="s">
        <v>484</v>
      </c>
      <c r="B96" s="17" t="s">
        <v>485</v>
      </c>
      <c r="C96" s="18" t="s">
        <v>484</v>
      </c>
      <c r="D96" s="17" t="s">
        <v>486</v>
      </c>
      <c r="E96" s="17" t="s">
        <v>487</v>
      </c>
      <c r="F96" s="17" t="s">
        <v>485</v>
      </c>
      <c r="G96" s="19">
        <v>39853</v>
      </c>
      <c r="I96" s="17" t="s">
        <v>191</v>
      </c>
      <c r="J96" s="17" t="s">
        <v>114</v>
      </c>
      <c r="K96" s="17" t="s">
        <v>95</v>
      </c>
      <c r="L96" s="17" t="s">
        <v>115</v>
      </c>
      <c r="M96" s="17" t="s">
        <v>77</v>
      </c>
      <c r="N96" s="17" t="s">
        <v>50</v>
      </c>
      <c r="O96" s="17" t="s">
        <v>51</v>
      </c>
      <c r="P96" s="17" t="s">
        <v>68</v>
      </c>
      <c r="Q96" s="17" t="s">
        <v>148</v>
      </c>
      <c r="R96" s="17">
        <v>1</v>
      </c>
    </row>
    <row r="97" spans="1:18" x14ac:dyDescent="0.2">
      <c r="A97" s="18" t="s">
        <v>488</v>
      </c>
      <c r="B97" s="17" t="s">
        <v>489</v>
      </c>
      <c r="C97" s="18" t="s">
        <v>488</v>
      </c>
      <c r="D97" s="17" t="s">
        <v>363</v>
      </c>
      <c r="E97" s="17" t="s">
        <v>490</v>
      </c>
      <c r="F97" s="17" t="s">
        <v>489</v>
      </c>
      <c r="G97" s="19">
        <v>39853</v>
      </c>
      <c r="I97" s="17" t="s">
        <v>191</v>
      </c>
      <c r="J97" s="17" t="s">
        <v>114</v>
      </c>
      <c r="K97" s="17" t="s">
        <v>95</v>
      </c>
      <c r="L97" s="17" t="s">
        <v>115</v>
      </c>
      <c r="M97" s="17" t="s">
        <v>77</v>
      </c>
      <c r="N97" s="17" t="s">
        <v>50</v>
      </c>
      <c r="O97" s="17" t="s">
        <v>51</v>
      </c>
      <c r="P97" s="17" t="s">
        <v>68</v>
      </c>
      <c r="Q97" s="17" t="s">
        <v>148</v>
      </c>
      <c r="R97" s="17">
        <v>1</v>
      </c>
    </row>
    <row r="98" spans="1:18" x14ac:dyDescent="0.2">
      <c r="A98" s="18" t="s">
        <v>491</v>
      </c>
      <c r="B98" s="17" t="s">
        <v>492</v>
      </c>
      <c r="C98" s="18" t="s">
        <v>491</v>
      </c>
      <c r="D98" s="17" t="s">
        <v>493</v>
      </c>
      <c r="E98" s="17" t="s">
        <v>494</v>
      </c>
      <c r="F98" s="17" t="s">
        <v>492</v>
      </c>
      <c r="G98" s="19">
        <v>39853</v>
      </c>
      <c r="I98" s="17" t="s">
        <v>162</v>
      </c>
      <c r="J98" s="17" t="s">
        <v>107</v>
      </c>
      <c r="K98" s="17" t="s">
        <v>67</v>
      </c>
      <c r="L98" s="17" t="s">
        <v>115</v>
      </c>
      <c r="M98" s="17" t="s">
        <v>77</v>
      </c>
      <c r="N98" s="17" t="s">
        <v>50</v>
      </c>
      <c r="O98" s="17" t="s">
        <v>51</v>
      </c>
      <c r="P98" s="17" t="s">
        <v>68</v>
      </c>
      <c r="Q98" s="17" t="s">
        <v>134</v>
      </c>
      <c r="R98" s="17">
        <v>4</v>
      </c>
    </row>
    <row r="99" spans="1:18" x14ac:dyDescent="0.2">
      <c r="A99" s="18" t="s">
        <v>495</v>
      </c>
      <c r="B99" s="17" t="s">
        <v>496</v>
      </c>
      <c r="C99" s="18" t="s">
        <v>495</v>
      </c>
      <c r="D99" s="17" t="s">
        <v>497</v>
      </c>
      <c r="E99" s="17" t="s">
        <v>498</v>
      </c>
      <c r="F99" s="17" t="s">
        <v>496</v>
      </c>
      <c r="G99" s="19">
        <v>40669</v>
      </c>
      <c r="I99" s="17" t="s">
        <v>307</v>
      </c>
      <c r="J99" s="17" t="s">
        <v>182</v>
      </c>
      <c r="K99" s="17" t="s">
        <v>89</v>
      </c>
      <c r="L99" s="17" t="s">
        <v>115</v>
      </c>
      <c r="M99" s="17" t="s">
        <v>77</v>
      </c>
      <c r="N99" s="17" t="s">
        <v>50</v>
      </c>
      <c r="O99" s="17" t="s">
        <v>51</v>
      </c>
      <c r="P99" s="17" t="s">
        <v>68</v>
      </c>
      <c r="Q99" s="17" t="s">
        <v>148</v>
      </c>
      <c r="R99" s="17">
        <v>4</v>
      </c>
    </row>
    <row r="100" spans="1:18" x14ac:dyDescent="0.2">
      <c r="A100" s="18" t="s">
        <v>499</v>
      </c>
      <c r="B100" s="17" t="s">
        <v>500</v>
      </c>
      <c r="C100" s="18" t="s">
        <v>499</v>
      </c>
      <c r="D100" s="17" t="s">
        <v>501</v>
      </c>
      <c r="E100" s="17" t="s">
        <v>502</v>
      </c>
      <c r="F100" s="17" t="s">
        <v>500</v>
      </c>
      <c r="G100" s="19">
        <v>40836</v>
      </c>
      <c r="I100" s="17" t="s">
        <v>120</v>
      </c>
      <c r="J100" s="17" t="s">
        <v>114</v>
      </c>
      <c r="K100" s="17" t="s">
        <v>95</v>
      </c>
      <c r="L100" s="17" t="s">
        <v>115</v>
      </c>
      <c r="M100" s="17" t="s">
        <v>49</v>
      </c>
      <c r="N100" s="17" t="s">
        <v>50</v>
      </c>
      <c r="O100" s="17" t="s">
        <v>51</v>
      </c>
      <c r="P100" s="17" t="s">
        <v>68</v>
      </c>
      <c r="Q100" s="17" t="s">
        <v>121</v>
      </c>
      <c r="R100" s="17">
        <v>3</v>
      </c>
    </row>
    <row r="101" spans="1:18" x14ac:dyDescent="0.2">
      <c r="A101" s="18" t="s">
        <v>503</v>
      </c>
      <c r="B101" s="17" t="s">
        <v>504</v>
      </c>
      <c r="C101" s="18" t="s">
        <v>503</v>
      </c>
      <c r="D101" s="17" t="s">
        <v>505</v>
      </c>
      <c r="E101" s="17" t="s">
        <v>506</v>
      </c>
      <c r="F101" s="17" t="s">
        <v>504</v>
      </c>
      <c r="G101" s="19">
        <v>40917</v>
      </c>
      <c r="I101" s="17" t="s">
        <v>507</v>
      </c>
      <c r="J101" s="17" t="s">
        <v>101</v>
      </c>
      <c r="K101" s="17" t="s">
        <v>89</v>
      </c>
      <c r="L101" s="17" t="s">
        <v>115</v>
      </c>
      <c r="M101" s="17" t="s">
        <v>77</v>
      </c>
      <c r="N101" s="17" t="s">
        <v>50</v>
      </c>
      <c r="O101" s="17" t="s">
        <v>51</v>
      </c>
      <c r="P101" s="17" t="s">
        <v>68</v>
      </c>
      <c r="Q101" s="17" t="s">
        <v>128</v>
      </c>
      <c r="R101" s="17">
        <v>3</v>
      </c>
    </row>
    <row r="102" spans="1:18" x14ac:dyDescent="0.2">
      <c r="A102" s="18" t="s">
        <v>508</v>
      </c>
      <c r="B102" s="17" t="s">
        <v>509</v>
      </c>
      <c r="C102" s="18" t="s">
        <v>508</v>
      </c>
      <c r="D102" s="17" t="s">
        <v>510</v>
      </c>
      <c r="E102" s="17" t="s">
        <v>511</v>
      </c>
      <c r="F102" s="17" t="s">
        <v>509</v>
      </c>
      <c r="G102" s="19">
        <v>40917</v>
      </c>
      <c r="I102" s="17" t="s">
        <v>507</v>
      </c>
      <c r="J102" s="17" t="s">
        <v>101</v>
      </c>
      <c r="K102" s="17" t="s">
        <v>89</v>
      </c>
      <c r="L102" s="17" t="s">
        <v>115</v>
      </c>
      <c r="M102" s="17" t="s">
        <v>77</v>
      </c>
      <c r="N102" s="17" t="s">
        <v>50</v>
      </c>
      <c r="O102" s="17" t="s">
        <v>51</v>
      </c>
      <c r="P102" s="17" t="s">
        <v>68</v>
      </c>
      <c r="Q102" s="17" t="s">
        <v>128</v>
      </c>
      <c r="R102" s="17">
        <v>2</v>
      </c>
    </row>
    <row r="103" spans="1:18" x14ac:dyDescent="0.2">
      <c r="A103" s="18" t="s">
        <v>512</v>
      </c>
      <c r="B103" s="17" t="s">
        <v>513</v>
      </c>
      <c r="C103" s="18" t="s">
        <v>512</v>
      </c>
      <c r="D103" s="17" t="s">
        <v>514</v>
      </c>
      <c r="E103" s="17" t="s">
        <v>515</v>
      </c>
      <c r="F103" s="17" t="s">
        <v>513</v>
      </c>
      <c r="G103" s="19">
        <v>40983</v>
      </c>
      <c r="I103" s="17" t="s">
        <v>120</v>
      </c>
      <c r="J103" s="17" t="s">
        <v>114</v>
      </c>
      <c r="K103" s="17" t="s">
        <v>95</v>
      </c>
      <c r="L103" s="17" t="s">
        <v>115</v>
      </c>
      <c r="M103" s="17" t="s">
        <v>49</v>
      </c>
      <c r="N103" s="17" t="s">
        <v>50</v>
      </c>
      <c r="O103" s="17" t="s">
        <v>51</v>
      </c>
      <c r="P103" s="17" t="s">
        <v>68</v>
      </c>
      <c r="Q103" s="17" t="s">
        <v>121</v>
      </c>
      <c r="R103" s="17">
        <v>4</v>
      </c>
    </row>
    <row r="104" spans="1:18" x14ac:dyDescent="0.2">
      <c r="A104" s="18" t="s">
        <v>516</v>
      </c>
      <c r="B104" s="17" t="s">
        <v>517</v>
      </c>
      <c r="C104" s="18" t="s">
        <v>516</v>
      </c>
      <c r="D104" s="17" t="s">
        <v>518</v>
      </c>
      <c r="E104" s="17" t="s">
        <v>519</v>
      </c>
      <c r="F104" s="17" t="s">
        <v>517</v>
      </c>
      <c r="G104" s="19">
        <v>41080</v>
      </c>
      <c r="I104" s="17" t="s">
        <v>520</v>
      </c>
      <c r="J104" s="17" t="s">
        <v>521</v>
      </c>
      <c r="K104" s="17" t="s">
        <v>95</v>
      </c>
      <c r="L104" s="17" t="s">
        <v>115</v>
      </c>
      <c r="M104" s="17" t="s">
        <v>49</v>
      </c>
      <c r="N104" s="17" t="s">
        <v>50</v>
      </c>
      <c r="O104" s="17" t="s">
        <v>51</v>
      </c>
      <c r="P104" s="17" t="s">
        <v>68</v>
      </c>
      <c r="Q104" s="17" t="s">
        <v>154</v>
      </c>
      <c r="R104" s="17">
        <v>5</v>
      </c>
    </row>
    <row r="105" spans="1:18" x14ac:dyDescent="0.2">
      <c r="A105" s="18" t="s">
        <v>522</v>
      </c>
      <c r="B105" s="17" t="s">
        <v>523</v>
      </c>
      <c r="C105" s="18" t="s">
        <v>522</v>
      </c>
      <c r="D105" s="17" t="s">
        <v>524</v>
      </c>
      <c r="E105" s="17" t="s">
        <v>525</v>
      </c>
      <c r="F105" s="17" t="s">
        <v>523</v>
      </c>
      <c r="G105" s="19">
        <v>41080</v>
      </c>
      <c r="I105" s="17" t="s">
        <v>526</v>
      </c>
      <c r="J105" s="17" t="s">
        <v>521</v>
      </c>
      <c r="K105" s="17" t="s">
        <v>95</v>
      </c>
      <c r="L105" s="17" t="s">
        <v>115</v>
      </c>
      <c r="M105" s="17" t="s">
        <v>77</v>
      </c>
      <c r="N105" s="17" t="s">
        <v>50</v>
      </c>
      <c r="O105" s="17" t="s">
        <v>51</v>
      </c>
      <c r="P105" s="17" t="s">
        <v>68</v>
      </c>
      <c r="Q105" s="17" t="s">
        <v>154</v>
      </c>
      <c r="R105" s="17">
        <v>5</v>
      </c>
    </row>
    <row r="106" spans="1:18" x14ac:dyDescent="0.2">
      <c r="A106" s="18" t="s">
        <v>527</v>
      </c>
      <c r="B106" s="17" t="s">
        <v>528</v>
      </c>
      <c r="C106" s="18" t="s">
        <v>527</v>
      </c>
      <c r="D106" s="17" t="s">
        <v>529</v>
      </c>
      <c r="E106" s="17" t="s">
        <v>530</v>
      </c>
      <c r="F106" s="17" t="s">
        <v>528</v>
      </c>
      <c r="G106" s="19">
        <v>41091</v>
      </c>
      <c r="I106" s="17" t="s">
        <v>120</v>
      </c>
      <c r="J106" s="17" t="s">
        <v>114</v>
      </c>
      <c r="K106" s="17" t="s">
        <v>95</v>
      </c>
      <c r="L106" s="17" t="s">
        <v>115</v>
      </c>
      <c r="M106" s="17" t="s">
        <v>49</v>
      </c>
      <c r="N106" s="17" t="s">
        <v>50</v>
      </c>
      <c r="O106" s="17" t="s">
        <v>51</v>
      </c>
      <c r="P106" s="17" t="s">
        <v>68</v>
      </c>
      <c r="Q106" s="17" t="s">
        <v>121</v>
      </c>
      <c r="R106" s="17">
        <v>3</v>
      </c>
    </row>
    <row r="107" spans="1:18" x14ac:dyDescent="0.2">
      <c r="A107" s="18" t="s">
        <v>531</v>
      </c>
      <c r="B107" s="17" t="s">
        <v>532</v>
      </c>
      <c r="C107" s="18" t="s">
        <v>531</v>
      </c>
      <c r="D107" s="17" t="s">
        <v>287</v>
      </c>
      <c r="E107" s="17" t="s">
        <v>533</v>
      </c>
      <c r="F107" s="17" t="s">
        <v>532</v>
      </c>
      <c r="G107" s="19">
        <v>41204</v>
      </c>
      <c r="I107" s="17" t="s">
        <v>526</v>
      </c>
      <c r="J107" s="17" t="s">
        <v>521</v>
      </c>
      <c r="K107" s="17" t="s">
        <v>95</v>
      </c>
      <c r="L107" s="17" t="s">
        <v>115</v>
      </c>
      <c r="M107" s="17" t="s">
        <v>77</v>
      </c>
      <c r="N107" s="17" t="s">
        <v>50</v>
      </c>
      <c r="O107" s="17" t="s">
        <v>51</v>
      </c>
      <c r="P107" s="17" t="s">
        <v>68</v>
      </c>
      <c r="Q107" s="17" t="s">
        <v>154</v>
      </c>
      <c r="R107" s="17">
        <v>5</v>
      </c>
    </row>
    <row r="108" spans="1:18" x14ac:dyDescent="0.2">
      <c r="A108" s="18" t="s">
        <v>534</v>
      </c>
      <c r="B108" s="17" t="s">
        <v>535</v>
      </c>
      <c r="C108" s="18" t="s">
        <v>534</v>
      </c>
      <c r="D108" s="17" t="s">
        <v>536</v>
      </c>
      <c r="E108" s="17" t="s">
        <v>537</v>
      </c>
      <c r="F108" s="17" t="s">
        <v>535</v>
      </c>
      <c r="G108" s="19">
        <v>41275</v>
      </c>
      <c r="I108" s="17" t="s">
        <v>133</v>
      </c>
      <c r="J108" s="17" t="s">
        <v>114</v>
      </c>
      <c r="K108" s="17" t="s">
        <v>95</v>
      </c>
      <c r="L108" s="17" t="s">
        <v>48</v>
      </c>
      <c r="M108" s="17" t="s">
        <v>77</v>
      </c>
      <c r="N108" s="17" t="s">
        <v>50</v>
      </c>
      <c r="O108" s="17" t="s">
        <v>51</v>
      </c>
      <c r="P108" s="17" t="s">
        <v>68</v>
      </c>
      <c r="Q108" s="17" t="s">
        <v>134</v>
      </c>
      <c r="R108" s="17">
        <v>3</v>
      </c>
    </row>
    <row r="109" spans="1:18" x14ac:dyDescent="0.2">
      <c r="A109" s="18" t="s">
        <v>538</v>
      </c>
      <c r="B109" s="17" t="s">
        <v>539</v>
      </c>
      <c r="C109" s="18" t="s">
        <v>538</v>
      </c>
      <c r="D109" s="17" t="s">
        <v>540</v>
      </c>
      <c r="E109" s="17" t="s">
        <v>541</v>
      </c>
      <c r="F109" s="17" t="s">
        <v>539</v>
      </c>
      <c r="G109" s="19">
        <v>41275</v>
      </c>
      <c r="I109" s="17" t="s">
        <v>153</v>
      </c>
      <c r="J109" s="17" t="s">
        <v>146</v>
      </c>
      <c r="K109" s="17" t="s">
        <v>95</v>
      </c>
      <c r="L109" s="17" t="s">
        <v>48</v>
      </c>
      <c r="M109" s="17" t="s">
        <v>77</v>
      </c>
      <c r="N109" s="17" t="s">
        <v>50</v>
      </c>
      <c r="O109" s="17" t="s">
        <v>147</v>
      </c>
      <c r="P109" s="17" t="s">
        <v>68</v>
      </c>
      <c r="Q109" s="17" t="s">
        <v>154</v>
      </c>
      <c r="R109" s="17">
        <v>7</v>
      </c>
    </row>
    <row r="110" spans="1:18" x14ac:dyDescent="0.2">
      <c r="A110" s="18" t="s">
        <v>542</v>
      </c>
      <c r="B110" s="17" t="s">
        <v>543</v>
      </c>
      <c r="C110" s="18" t="s">
        <v>542</v>
      </c>
      <c r="D110" s="17" t="s">
        <v>544</v>
      </c>
      <c r="E110" s="17" t="s">
        <v>545</v>
      </c>
      <c r="F110" s="17" t="s">
        <v>543</v>
      </c>
      <c r="G110" s="19">
        <v>41275</v>
      </c>
      <c r="I110" s="17" t="s">
        <v>191</v>
      </c>
      <c r="J110" s="17" t="s">
        <v>146</v>
      </c>
      <c r="K110" s="17" t="s">
        <v>95</v>
      </c>
      <c r="L110" s="17" t="s">
        <v>48</v>
      </c>
      <c r="M110" s="17" t="s">
        <v>77</v>
      </c>
      <c r="N110" s="17" t="s">
        <v>50</v>
      </c>
      <c r="O110" s="17" t="s">
        <v>147</v>
      </c>
      <c r="P110" s="17" t="s">
        <v>68</v>
      </c>
      <c r="Q110" s="17" t="s">
        <v>148</v>
      </c>
      <c r="R110" s="17">
        <v>1</v>
      </c>
    </row>
    <row r="111" spans="1:18" x14ac:dyDescent="0.2">
      <c r="A111" s="18" t="s">
        <v>546</v>
      </c>
      <c r="B111" s="17" t="s">
        <v>547</v>
      </c>
      <c r="C111" s="18" t="s">
        <v>546</v>
      </c>
      <c r="D111" s="17" t="s">
        <v>548</v>
      </c>
      <c r="E111" s="17" t="s">
        <v>549</v>
      </c>
      <c r="F111" s="17" t="s">
        <v>547</v>
      </c>
      <c r="G111" s="19">
        <v>41275</v>
      </c>
      <c r="I111" s="17" t="s">
        <v>120</v>
      </c>
      <c r="J111" s="17" t="s">
        <v>146</v>
      </c>
      <c r="K111" s="17" t="s">
        <v>95</v>
      </c>
      <c r="L111" s="17" t="s">
        <v>48</v>
      </c>
      <c r="M111" s="17" t="s">
        <v>49</v>
      </c>
      <c r="N111" s="17" t="s">
        <v>50</v>
      </c>
      <c r="O111" s="17" t="s">
        <v>147</v>
      </c>
      <c r="P111" s="17" t="s">
        <v>68</v>
      </c>
      <c r="Q111" s="17" t="s">
        <v>121</v>
      </c>
      <c r="R111" s="17">
        <v>3</v>
      </c>
    </row>
    <row r="112" spans="1:18" x14ac:dyDescent="0.2">
      <c r="A112" s="18" t="s">
        <v>550</v>
      </c>
      <c r="B112" s="17" t="s">
        <v>551</v>
      </c>
      <c r="C112" s="18" t="s">
        <v>550</v>
      </c>
      <c r="D112" s="17" t="s">
        <v>552</v>
      </c>
      <c r="E112" s="17" t="s">
        <v>553</v>
      </c>
      <c r="F112" s="17" t="s">
        <v>551</v>
      </c>
      <c r="G112" s="19">
        <v>41275</v>
      </c>
      <c r="I112" s="17" t="s">
        <v>120</v>
      </c>
      <c r="J112" s="17" t="s">
        <v>146</v>
      </c>
      <c r="K112" s="17" t="s">
        <v>95</v>
      </c>
      <c r="L112" s="17" t="s">
        <v>48</v>
      </c>
      <c r="M112" s="17" t="s">
        <v>49</v>
      </c>
      <c r="N112" s="17" t="s">
        <v>50</v>
      </c>
      <c r="O112" s="17" t="s">
        <v>147</v>
      </c>
      <c r="P112" s="17" t="s">
        <v>68</v>
      </c>
      <c r="Q112" s="17" t="s">
        <v>121</v>
      </c>
      <c r="R112" s="17">
        <v>4</v>
      </c>
    </row>
    <row r="113" spans="1:18" x14ac:dyDescent="0.2">
      <c r="A113" s="18" t="s">
        <v>554</v>
      </c>
      <c r="B113" s="17" t="s">
        <v>555</v>
      </c>
      <c r="C113" s="18" t="s">
        <v>554</v>
      </c>
      <c r="D113" s="17" t="s">
        <v>556</v>
      </c>
      <c r="E113" s="17" t="s">
        <v>557</v>
      </c>
      <c r="F113" s="17" t="s">
        <v>555</v>
      </c>
      <c r="G113" s="19">
        <v>41275</v>
      </c>
      <c r="I113" s="17" t="s">
        <v>120</v>
      </c>
      <c r="J113" s="17" t="s">
        <v>146</v>
      </c>
      <c r="K113" s="17" t="s">
        <v>95</v>
      </c>
      <c r="L113" s="17" t="s">
        <v>48</v>
      </c>
      <c r="M113" s="17" t="s">
        <v>49</v>
      </c>
      <c r="N113" s="17" t="s">
        <v>50</v>
      </c>
      <c r="O113" s="17" t="s">
        <v>147</v>
      </c>
      <c r="P113" s="17" t="s">
        <v>68</v>
      </c>
      <c r="Q113" s="17" t="s">
        <v>121</v>
      </c>
      <c r="R113" s="17">
        <v>3</v>
      </c>
    </row>
    <row r="114" spans="1:18" x14ac:dyDescent="0.2">
      <c r="A114" s="18" t="s">
        <v>558</v>
      </c>
      <c r="B114" s="17" t="s">
        <v>559</v>
      </c>
      <c r="C114" s="18" t="s">
        <v>558</v>
      </c>
      <c r="D114" s="17" t="s">
        <v>560</v>
      </c>
      <c r="E114" s="17" t="s">
        <v>561</v>
      </c>
      <c r="F114" s="17" t="s">
        <v>559</v>
      </c>
      <c r="G114" s="19">
        <v>41288</v>
      </c>
      <c r="I114" s="17" t="s">
        <v>162</v>
      </c>
      <c r="J114" s="17" t="s">
        <v>107</v>
      </c>
      <c r="K114" s="17" t="s">
        <v>67</v>
      </c>
      <c r="L114" s="17" t="s">
        <v>115</v>
      </c>
      <c r="M114" s="17" t="s">
        <v>77</v>
      </c>
      <c r="N114" s="17" t="s">
        <v>50</v>
      </c>
      <c r="O114" s="17" t="s">
        <v>51</v>
      </c>
      <c r="P114" s="17" t="s">
        <v>68</v>
      </c>
      <c r="Q114" s="17" t="s">
        <v>148</v>
      </c>
      <c r="R114" s="17">
        <v>4</v>
      </c>
    </row>
    <row r="115" spans="1:18" x14ac:dyDescent="0.2">
      <c r="A115" s="18" t="s">
        <v>562</v>
      </c>
      <c r="B115" s="17" t="s">
        <v>563</v>
      </c>
      <c r="C115" s="18" t="s">
        <v>562</v>
      </c>
      <c r="D115" s="17" t="s">
        <v>564</v>
      </c>
      <c r="E115" s="17" t="s">
        <v>565</v>
      </c>
      <c r="F115" s="17" t="s">
        <v>563</v>
      </c>
      <c r="G115" s="19">
        <v>41302</v>
      </c>
      <c r="I115" s="17" t="s">
        <v>566</v>
      </c>
      <c r="J115" s="17" t="s">
        <v>114</v>
      </c>
      <c r="K115" s="17" t="s">
        <v>95</v>
      </c>
      <c r="L115" s="17" t="s">
        <v>115</v>
      </c>
      <c r="M115" s="17" t="s">
        <v>49</v>
      </c>
      <c r="N115" s="17" t="s">
        <v>50</v>
      </c>
      <c r="O115" s="17" t="s">
        <v>51</v>
      </c>
      <c r="P115" s="17" t="s">
        <v>68</v>
      </c>
      <c r="Q115" s="17" t="s">
        <v>69</v>
      </c>
      <c r="R115" s="17">
        <v>1</v>
      </c>
    </row>
    <row r="116" spans="1:18" x14ac:dyDescent="0.2">
      <c r="A116" s="18" t="s">
        <v>567</v>
      </c>
      <c r="B116" s="17" t="s">
        <v>568</v>
      </c>
      <c r="C116" s="18" t="s">
        <v>567</v>
      </c>
      <c r="D116" s="17" t="s">
        <v>569</v>
      </c>
      <c r="E116" s="17" t="s">
        <v>570</v>
      </c>
      <c r="F116" s="17" t="s">
        <v>568</v>
      </c>
      <c r="G116" s="19">
        <v>41275</v>
      </c>
      <c r="I116" s="17" t="s">
        <v>153</v>
      </c>
      <c r="J116" s="17" t="s">
        <v>146</v>
      </c>
      <c r="K116" s="17" t="s">
        <v>95</v>
      </c>
      <c r="L116" s="17" t="s">
        <v>48</v>
      </c>
      <c r="M116" s="17" t="s">
        <v>77</v>
      </c>
      <c r="N116" s="17" t="s">
        <v>50</v>
      </c>
      <c r="O116" s="17" t="s">
        <v>147</v>
      </c>
      <c r="P116" s="17" t="s">
        <v>68</v>
      </c>
      <c r="Q116" s="17" t="s">
        <v>121</v>
      </c>
      <c r="R116" s="17">
        <v>3</v>
      </c>
    </row>
    <row r="117" spans="1:18" x14ac:dyDescent="0.2">
      <c r="A117" s="18" t="s">
        <v>571</v>
      </c>
      <c r="B117" s="17" t="s">
        <v>572</v>
      </c>
      <c r="C117" s="18" t="s">
        <v>571</v>
      </c>
      <c r="D117" s="17" t="s">
        <v>573</v>
      </c>
      <c r="E117" s="17" t="s">
        <v>574</v>
      </c>
      <c r="F117" s="17" t="s">
        <v>572</v>
      </c>
      <c r="G117" s="19">
        <v>41348</v>
      </c>
      <c r="I117" s="17" t="s">
        <v>507</v>
      </c>
      <c r="J117" s="17" t="s">
        <v>101</v>
      </c>
      <c r="K117" s="17" t="s">
        <v>89</v>
      </c>
      <c r="L117" s="17" t="s">
        <v>115</v>
      </c>
      <c r="M117" s="17" t="s">
        <v>77</v>
      </c>
      <c r="N117" s="17" t="s">
        <v>50</v>
      </c>
      <c r="O117" s="17" t="s">
        <v>51</v>
      </c>
      <c r="P117" s="17" t="s">
        <v>68</v>
      </c>
      <c r="Q117" s="17" t="s">
        <v>128</v>
      </c>
      <c r="R117" s="17">
        <v>1</v>
      </c>
    </row>
    <row r="118" spans="1:18" x14ac:dyDescent="0.2">
      <c r="A118" s="18" t="s">
        <v>575</v>
      </c>
      <c r="B118" s="17" t="s">
        <v>576</v>
      </c>
      <c r="C118" s="18" t="s">
        <v>575</v>
      </c>
      <c r="D118" s="17" t="s">
        <v>213</v>
      </c>
      <c r="E118" s="17" t="s">
        <v>577</v>
      </c>
      <c r="F118" s="17" t="s">
        <v>576</v>
      </c>
      <c r="G118" s="19">
        <v>41677</v>
      </c>
      <c r="I118" s="17" t="s">
        <v>578</v>
      </c>
      <c r="J118" s="17" t="s">
        <v>95</v>
      </c>
      <c r="K118" s="17" t="s">
        <v>95</v>
      </c>
      <c r="L118" s="17" t="s">
        <v>48</v>
      </c>
      <c r="M118" s="17" t="s">
        <v>77</v>
      </c>
      <c r="N118" s="17" t="s">
        <v>50</v>
      </c>
      <c r="O118" s="17" t="s">
        <v>51</v>
      </c>
      <c r="P118" s="17" t="s">
        <v>52</v>
      </c>
      <c r="Q118" s="17" t="s">
        <v>579</v>
      </c>
      <c r="R118" s="17">
        <v>1</v>
      </c>
    </row>
    <row r="119" spans="1:18" x14ac:dyDescent="0.2">
      <c r="A119" s="18" t="s">
        <v>580</v>
      </c>
      <c r="B119" s="17" t="s">
        <v>581</v>
      </c>
      <c r="C119" s="18" t="s">
        <v>580</v>
      </c>
      <c r="D119" s="17" t="s">
        <v>582</v>
      </c>
      <c r="E119" s="17" t="s">
        <v>583</v>
      </c>
      <c r="F119" s="17" t="s">
        <v>581</v>
      </c>
      <c r="G119" s="19">
        <v>41699</v>
      </c>
      <c r="I119" s="17" t="s">
        <v>162</v>
      </c>
      <c r="J119" s="17" t="s">
        <v>107</v>
      </c>
      <c r="K119" s="17" t="s">
        <v>67</v>
      </c>
      <c r="L119" s="17" t="s">
        <v>115</v>
      </c>
      <c r="M119" s="17" t="s">
        <v>77</v>
      </c>
      <c r="N119" s="17" t="s">
        <v>50</v>
      </c>
      <c r="O119" s="17" t="s">
        <v>51</v>
      </c>
      <c r="P119" s="17" t="s">
        <v>68</v>
      </c>
      <c r="Q119" s="17" t="s">
        <v>148</v>
      </c>
      <c r="R119" s="17">
        <v>4</v>
      </c>
    </row>
    <row r="120" spans="1:18" x14ac:dyDescent="0.2">
      <c r="A120" s="18" t="s">
        <v>584</v>
      </c>
      <c r="B120" s="17" t="s">
        <v>585</v>
      </c>
      <c r="C120" s="18" t="s">
        <v>584</v>
      </c>
      <c r="D120" s="17" t="s">
        <v>586</v>
      </c>
      <c r="E120" s="17" t="s">
        <v>587</v>
      </c>
      <c r="F120" s="17" t="s">
        <v>585</v>
      </c>
      <c r="G120" s="19">
        <v>41733</v>
      </c>
      <c r="I120" s="17" t="s">
        <v>588</v>
      </c>
      <c r="J120" s="17" t="s">
        <v>114</v>
      </c>
      <c r="K120" s="17" t="s">
        <v>95</v>
      </c>
      <c r="L120" s="17" t="s">
        <v>48</v>
      </c>
      <c r="M120" s="17" t="s">
        <v>77</v>
      </c>
      <c r="N120" s="17" t="s">
        <v>50</v>
      </c>
      <c r="O120" s="17" t="s">
        <v>51</v>
      </c>
      <c r="P120" s="17" t="s">
        <v>52</v>
      </c>
      <c r="Q120" s="17" t="s">
        <v>61</v>
      </c>
      <c r="R120" s="17">
        <v>1</v>
      </c>
    </row>
    <row r="121" spans="1:18" x14ac:dyDescent="0.2">
      <c r="A121" s="18" t="s">
        <v>589</v>
      </c>
      <c r="B121" s="17" t="s">
        <v>590</v>
      </c>
      <c r="C121" s="18" t="s">
        <v>589</v>
      </c>
      <c r="D121" s="17" t="s">
        <v>283</v>
      </c>
      <c r="E121" s="17" t="s">
        <v>591</v>
      </c>
      <c r="F121" s="17" t="s">
        <v>590</v>
      </c>
      <c r="G121" s="19">
        <v>41883</v>
      </c>
      <c r="I121" s="17" t="s">
        <v>293</v>
      </c>
      <c r="J121" s="17" t="s">
        <v>84</v>
      </c>
      <c r="K121" s="17" t="s">
        <v>67</v>
      </c>
      <c r="L121" s="17" t="s">
        <v>48</v>
      </c>
      <c r="M121" s="17" t="s">
        <v>77</v>
      </c>
      <c r="N121" s="17" t="s">
        <v>50</v>
      </c>
      <c r="O121" s="17" t="s">
        <v>51</v>
      </c>
      <c r="P121" s="17" t="s">
        <v>68</v>
      </c>
      <c r="Q121" s="17" t="s">
        <v>134</v>
      </c>
      <c r="R121" s="17">
        <v>1</v>
      </c>
    </row>
    <row r="122" spans="1:18" x14ac:dyDescent="0.2">
      <c r="A122" s="18" t="s">
        <v>592</v>
      </c>
      <c r="B122" s="17" t="s">
        <v>593</v>
      </c>
      <c r="C122" s="18" t="s">
        <v>592</v>
      </c>
      <c r="D122" s="17" t="s">
        <v>594</v>
      </c>
      <c r="E122" s="17" t="s">
        <v>595</v>
      </c>
      <c r="F122" s="17" t="s">
        <v>593</v>
      </c>
      <c r="G122" s="19">
        <v>42082</v>
      </c>
      <c r="I122" s="17" t="s">
        <v>596</v>
      </c>
      <c r="J122" s="17" t="s">
        <v>114</v>
      </c>
      <c r="K122" s="17" t="s">
        <v>95</v>
      </c>
      <c r="L122" s="17" t="s">
        <v>48</v>
      </c>
      <c r="M122" s="17" t="s">
        <v>49</v>
      </c>
      <c r="N122" s="17" t="s">
        <v>50</v>
      </c>
      <c r="O122" s="17" t="s">
        <v>51</v>
      </c>
      <c r="P122" s="17" t="s">
        <v>68</v>
      </c>
      <c r="Q122" s="17" t="s">
        <v>148</v>
      </c>
      <c r="R122" s="17">
        <v>3</v>
      </c>
    </row>
    <row r="123" spans="1:18" x14ac:dyDescent="0.2">
      <c r="A123" s="18" t="s">
        <v>597</v>
      </c>
      <c r="B123" s="17" t="s">
        <v>598</v>
      </c>
      <c r="C123" s="18" t="s">
        <v>597</v>
      </c>
      <c r="D123" s="17" t="s">
        <v>599</v>
      </c>
      <c r="E123" s="17" t="s">
        <v>600</v>
      </c>
      <c r="F123" s="17" t="s">
        <v>598</v>
      </c>
      <c r="G123" s="19">
        <v>42380</v>
      </c>
      <c r="I123" s="17" t="s">
        <v>601</v>
      </c>
      <c r="J123" s="17" t="s">
        <v>114</v>
      </c>
      <c r="K123" s="17" t="s">
        <v>95</v>
      </c>
      <c r="L123" s="17" t="s">
        <v>48</v>
      </c>
      <c r="M123" s="17" t="s">
        <v>77</v>
      </c>
      <c r="N123" s="17" t="s">
        <v>50</v>
      </c>
      <c r="O123" s="17" t="s">
        <v>51</v>
      </c>
      <c r="P123" s="17" t="s">
        <v>68</v>
      </c>
      <c r="Q123" s="17" t="s">
        <v>121</v>
      </c>
      <c r="R123" s="17">
        <v>7</v>
      </c>
    </row>
    <row r="124" spans="1:18" x14ac:dyDescent="0.2">
      <c r="A124" s="18" t="s">
        <v>602</v>
      </c>
      <c r="B124" s="17" t="s">
        <v>603</v>
      </c>
      <c r="C124" s="18" t="s">
        <v>602</v>
      </c>
      <c r="D124" s="17" t="s">
        <v>604</v>
      </c>
      <c r="E124" s="17" t="s">
        <v>605</v>
      </c>
      <c r="F124" s="17" t="s">
        <v>603</v>
      </c>
      <c r="G124" s="19">
        <v>42380</v>
      </c>
      <c r="I124" s="17" t="s">
        <v>162</v>
      </c>
      <c r="J124" s="17" t="s">
        <v>107</v>
      </c>
      <c r="K124" s="17" t="s">
        <v>67</v>
      </c>
      <c r="L124" s="17" t="s">
        <v>115</v>
      </c>
      <c r="M124" s="17" t="s">
        <v>77</v>
      </c>
      <c r="N124" s="17" t="s">
        <v>50</v>
      </c>
      <c r="O124" s="17" t="s">
        <v>51</v>
      </c>
      <c r="P124" s="17" t="s">
        <v>68</v>
      </c>
      <c r="Q124" s="17" t="s">
        <v>148</v>
      </c>
      <c r="R124" s="17">
        <v>2</v>
      </c>
    </row>
    <row r="125" spans="1:18" x14ac:dyDescent="0.2">
      <c r="A125" s="18" t="s">
        <v>606</v>
      </c>
      <c r="B125" s="17" t="s">
        <v>607</v>
      </c>
      <c r="C125" s="18" t="s">
        <v>606</v>
      </c>
      <c r="D125" s="17" t="s">
        <v>367</v>
      </c>
      <c r="E125" s="17" t="s">
        <v>608</v>
      </c>
      <c r="F125" s="17" t="s">
        <v>607</v>
      </c>
      <c r="G125" s="19">
        <v>42408</v>
      </c>
      <c r="I125" s="17" t="s">
        <v>609</v>
      </c>
      <c r="J125" s="17" t="s">
        <v>107</v>
      </c>
      <c r="K125" s="17" t="s">
        <v>67</v>
      </c>
      <c r="L125" s="17" t="s">
        <v>115</v>
      </c>
      <c r="M125" s="17" t="s">
        <v>77</v>
      </c>
      <c r="N125" s="17" t="s">
        <v>50</v>
      </c>
      <c r="O125" s="17" t="s">
        <v>51</v>
      </c>
      <c r="P125" s="17" t="s">
        <v>68</v>
      </c>
      <c r="Q125" s="17" t="s">
        <v>140</v>
      </c>
      <c r="R125" s="17">
        <v>1</v>
      </c>
    </row>
    <row r="126" spans="1:18" x14ac:dyDescent="0.2">
      <c r="A126" s="18" t="s">
        <v>610</v>
      </c>
      <c r="B126" s="17" t="s">
        <v>611</v>
      </c>
      <c r="C126" s="18" t="s">
        <v>610</v>
      </c>
      <c r="D126" s="17" t="s">
        <v>612</v>
      </c>
      <c r="E126" s="17" t="s">
        <v>613</v>
      </c>
      <c r="F126" s="17" t="s">
        <v>611</v>
      </c>
      <c r="G126" s="19">
        <v>42619</v>
      </c>
      <c r="I126" s="17" t="s">
        <v>66</v>
      </c>
      <c r="J126" s="17" t="s">
        <v>95</v>
      </c>
      <c r="K126" s="17" t="s">
        <v>95</v>
      </c>
      <c r="L126" s="17" t="s">
        <v>48</v>
      </c>
      <c r="M126" s="17" t="s">
        <v>49</v>
      </c>
      <c r="N126" s="17" t="s">
        <v>50</v>
      </c>
      <c r="O126" s="17" t="s">
        <v>51</v>
      </c>
      <c r="P126" s="17" t="s">
        <v>68</v>
      </c>
      <c r="Q126" s="17" t="s">
        <v>128</v>
      </c>
      <c r="R126" s="17">
        <v>4</v>
      </c>
    </row>
    <row r="127" spans="1:18" x14ac:dyDescent="0.2">
      <c r="A127" s="18" t="s">
        <v>614</v>
      </c>
      <c r="B127" s="17" t="s">
        <v>615</v>
      </c>
      <c r="C127" s="18" t="s">
        <v>614</v>
      </c>
      <c r="D127" s="17" t="s">
        <v>616</v>
      </c>
      <c r="E127" s="17" t="s">
        <v>617</v>
      </c>
      <c r="F127" s="17" t="s">
        <v>615</v>
      </c>
      <c r="G127" s="19">
        <v>42737</v>
      </c>
      <c r="I127" s="17" t="s">
        <v>167</v>
      </c>
      <c r="J127" s="17" t="s">
        <v>114</v>
      </c>
      <c r="K127" s="17" t="s">
        <v>95</v>
      </c>
      <c r="L127" s="17" t="s">
        <v>115</v>
      </c>
      <c r="M127" s="17" t="s">
        <v>77</v>
      </c>
      <c r="N127" s="17" t="s">
        <v>50</v>
      </c>
      <c r="O127" s="17" t="s">
        <v>51</v>
      </c>
      <c r="P127" s="17" t="s">
        <v>68</v>
      </c>
      <c r="Q127" s="17" t="s">
        <v>69</v>
      </c>
      <c r="R127" s="17">
        <v>7</v>
      </c>
    </row>
    <row r="128" spans="1:18" x14ac:dyDescent="0.2">
      <c r="A128" s="18" t="s">
        <v>618</v>
      </c>
      <c r="B128" s="17" t="s">
        <v>619</v>
      </c>
      <c r="C128" s="18" t="s">
        <v>618</v>
      </c>
      <c r="D128" s="17" t="s">
        <v>620</v>
      </c>
      <c r="E128" s="17" t="s">
        <v>621</v>
      </c>
      <c r="F128" s="17" t="s">
        <v>619</v>
      </c>
      <c r="G128" s="19">
        <v>42736</v>
      </c>
      <c r="I128" s="17" t="s">
        <v>622</v>
      </c>
      <c r="J128" s="17" t="s">
        <v>410</v>
      </c>
      <c r="K128" s="17" t="s">
        <v>89</v>
      </c>
      <c r="L128" s="17" t="s">
        <v>48</v>
      </c>
      <c r="M128" s="17" t="s">
        <v>77</v>
      </c>
      <c r="N128" s="17" t="s">
        <v>50</v>
      </c>
      <c r="O128" s="17" t="s">
        <v>51</v>
      </c>
      <c r="P128" s="17" t="s">
        <v>52</v>
      </c>
      <c r="Q128" s="17" t="s">
        <v>579</v>
      </c>
      <c r="R128" s="17">
        <v>3</v>
      </c>
    </row>
    <row r="129" spans="1:18" x14ac:dyDescent="0.2">
      <c r="A129" s="18" t="s">
        <v>623</v>
      </c>
      <c r="B129" s="17" t="s">
        <v>624</v>
      </c>
      <c r="C129" s="18" t="s">
        <v>623</v>
      </c>
      <c r="D129" s="17" t="s">
        <v>314</v>
      </c>
      <c r="E129" s="17" t="s">
        <v>625</v>
      </c>
      <c r="F129" s="17" t="s">
        <v>624</v>
      </c>
      <c r="G129" s="19">
        <v>42736</v>
      </c>
      <c r="I129" s="17" t="s">
        <v>626</v>
      </c>
      <c r="J129" s="17" t="s">
        <v>127</v>
      </c>
      <c r="K129" s="17" t="s">
        <v>67</v>
      </c>
      <c r="L129" s="17" t="s">
        <v>48</v>
      </c>
      <c r="M129" s="17" t="s">
        <v>77</v>
      </c>
      <c r="N129" s="17" t="s">
        <v>50</v>
      </c>
      <c r="O129" s="17" t="s">
        <v>51</v>
      </c>
      <c r="P129" s="17" t="s">
        <v>52</v>
      </c>
      <c r="Q129" s="17" t="s">
        <v>53</v>
      </c>
      <c r="R129" s="17">
        <v>12</v>
      </c>
    </row>
    <row r="130" spans="1:18" x14ac:dyDescent="0.2">
      <c r="A130" s="18" t="s">
        <v>627</v>
      </c>
      <c r="B130" s="17" t="s">
        <v>628</v>
      </c>
      <c r="C130" s="18" t="s">
        <v>627</v>
      </c>
      <c r="D130" s="17" t="s">
        <v>629</v>
      </c>
      <c r="E130" s="17" t="s">
        <v>630</v>
      </c>
      <c r="F130" s="17" t="s">
        <v>628</v>
      </c>
      <c r="G130" s="19">
        <v>42736</v>
      </c>
      <c r="I130" s="17" t="s">
        <v>631</v>
      </c>
      <c r="J130" s="17" t="s">
        <v>632</v>
      </c>
      <c r="K130" s="17" t="s">
        <v>633</v>
      </c>
      <c r="L130" s="17" t="s">
        <v>48</v>
      </c>
      <c r="M130" s="17" t="s">
        <v>49</v>
      </c>
      <c r="N130" s="17" t="s">
        <v>50</v>
      </c>
      <c r="O130" s="17" t="s">
        <v>51</v>
      </c>
      <c r="P130" s="17" t="s">
        <v>52</v>
      </c>
      <c r="Q130" s="17" t="s">
        <v>579</v>
      </c>
      <c r="R130" s="17">
        <v>1</v>
      </c>
    </row>
    <row r="131" spans="1:18" x14ac:dyDescent="0.2">
      <c r="A131" s="18" t="s">
        <v>634</v>
      </c>
      <c r="B131" s="17" t="s">
        <v>635</v>
      </c>
      <c r="C131" s="18" t="s">
        <v>634</v>
      </c>
      <c r="D131" s="17" t="s">
        <v>636</v>
      </c>
      <c r="E131" s="17" t="s">
        <v>637</v>
      </c>
      <c r="F131" s="17" t="s">
        <v>635</v>
      </c>
      <c r="G131" s="19">
        <v>42747</v>
      </c>
      <c r="I131" s="17" t="s">
        <v>638</v>
      </c>
      <c r="J131" s="17" t="s">
        <v>146</v>
      </c>
      <c r="K131" s="17" t="s">
        <v>95</v>
      </c>
      <c r="L131" s="17" t="s">
        <v>48</v>
      </c>
      <c r="M131" s="17" t="s">
        <v>49</v>
      </c>
      <c r="N131" s="17" t="s">
        <v>50</v>
      </c>
      <c r="O131" s="17" t="s">
        <v>147</v>
      </c>
      <c r="P131" s="17" t="s">
        <v>68</v>
      </c>
      <c r="Q131" s="17" t="s">
        <v>140</v>
      </c>
      <c r="R131" s="17">
        <v>4</v>
      </c>
    </row>
    <row r="132" spans="1:18" x14ac:dyDescent="0.2">
      <c r="A132" s="18" t="s">
        <v>639</v>
      </c>
      <c r="B132" s="17" t="s">
        <v>640</v>
      </c>
      <c r="C132" s="18" t="s">
        <v>639</v>
      </c>
      <c r="D132" s="17" t="s">
        <v>641</v>
      </c>
      <c r="E132" s="17" t="s">
        <v>642</v>
      </c>
      <c r="F132" s="17" t="s">
        <v>640</v>
      </c>
      <c r="G132" s="19">
        <v>42758</v>
      </c>
      <c r="I132" s="17" t="s">
        <v>643</v>
      </c>
      <c r="J132" s="17" t="s">
        <v>46</v>
      </c>
      <c r="K132" s="17" t="s">
        <v>47</v>
      </c>
      <c r="L132" s="17" t="s">
        <v>48</v>
      </c>
      <c r="M132" s="17" t="s">
        <v>49</v>
      </c>
      <c r="N132" s="17" t="s">
        <v>50</v>
      </c>
      <c r="O132" s="17" t="s">
        <v>51</v>
      </c>
      <c r="P132" s="17" t="s">
        <v>52</v>
      </c>
      <c r="Q132" s="17" t="s">
        <v>579</v>
      </c>
      <c r="R132" s="17">
        <v>5</v>
      </c>
    </row>
    <row r="133" spans="1:18" x14ac:dyDescent="0.2">
      <c r="A133" s="18" t="s">
        <v>644</v>
      </c>
      <c r="B133" s="17" t="s">
        <v>645</v>
      </c>
      <c r="C133" s="18" t="s">
        <v>644</v>
      </c>
      <c r="D133" s="17" t="s">
        <v>646</v>
      </c>
      <c r="E133" s="17" t="s">
        <v>647</v>
      </c>
      <c r="F133" s="17" t="s">
        <v>645</v>
      </c>
      <c r="G133" s="19">
        <v>42767</v>
      </c>
      <c r="I133" s="17" t="s">
        <v>648</v>
      </c>
      <c r="J133" s="17" t="s">
        <v>649</v>
      </c>
      <c r="K133" s="17" t="s">
        <v>76</v>
      </c>
      <c r="L133" s="17" t="s">
        <v>48</v>
      </c>
      <c r="M133" s="17" t="s">
        <v>49</v>
      </c>
      <c r="N133" s="17" t="s">
        <v>50</v>
      </c>
      <c r="O133" s="17" t="s">
        <v>51</v>
      </c>
      <c r="P133" s="17" t="s">
        <v>52</v>
      </c>
      <c r="Q133" s="17" t="s">
        <v>650</v>
      </c>
      <c r="R133" s="17">
        <v>7</v>
      </c>
    </row>
    <row r="134" spans="1:18" x14ac:dyDescent="0.2">
      <c r="A134" s="18" t="s">
        <v>651</v>
      </c>
      <c r="B134" s="17" t="s">
        <v>652</v>
      </c>
      <c r="C134" s="18" t="s">
        <v>651</v>
      </c>
      <c r="D134" s="17" t="s">
        <v>653</v>
      </c>
      <c r="E134" s="17" t="s">
        <v>654</v>
      </c>
      <c r="F134" s="17" t="s">
        <v>652</v>
      </c>
      <c r="G134" s="19">
        <v>42775</v>
      </c>
      <c r="I134" s="17" t="s">
        <v>655</v>
      </c>
      <c r="J134" s="17" t="s">
        <v>107</v>
      </c>
      <c r="K134" s="17" t="s">
        <v>67</v>
      </c>
      <c r="L134" s="17" t="s">
        <v>48</v>
      </c>
      <c r="M134" s="17" t="s">
        <v>77</v>
      </c>
      <c r="N134" s="17" t="s">
        <v>50</v>
      </c>
      <c r="O134" s="17" t="s">
        <v>51</v>
      </c>
      <c r="P134" s="17" t="s">
        <v>52</v>
      </c>
      <c r="Q134" s="17" t="s">
        <v>78</v>
      </c>
      <c r="R134" s="17">
        <v>2</v>
      </c>
    </row>
    <row r="135" spans="1:18" x14ac:dyDescent="0.2">
      <c r="A135" s="18" t="s">
        <v>656</v>
      </c>
      <c r="B135" s="17" t="s">
        <v>657</v>
      </c>
      <c r="C135" s="18" t="s">
        <v>656</v>
      </c>
      <c r="D135" s="17" t="s">
        <v>658</v>
      </c>
      <c r="E135" s="17" t="s">
        <v>659</v>
      </c>
      <c r="F135" s="17" t="s">
        <v>657</v>
      </c>
      <c r="G135" s="19">
        <v>42814</v>
      </c>
      <c r="I135" s="17" t="s">
        <v>660</v>
      </c>
      <c r="J135" s="17" t="s">
        <v>661</v>
      </c>
      <c r="K135" s="17" t="s">
        <v>661</v>
      </c>
      <c r="L135" s="17" t="s">
        <v>48</v>
      </c>
      <c r="M135" s="17" t="s">
        <v>49</v>
      </c>
      <c r="N135" s="17" t="s">
        <v>50</v>
      </c>
      <c r="O135" s="17" t="s">
        <v>51</v>
      </c>
      <c r="P135" s="17" t="s">
        <v>52</v>
      </c>
      <c r="Q135" s="17" t="s">
        <v>53</v>
      </c>
      <c r="R135" s="17">
        <v>1</v>
      </c>
    </row>
    <row r="136" spans="1:18" x14ac:dyDescent="0.2">
      <c r="A136" s="18" t="s">
        <v>662</v>
      </c>
      <c r="B136" s="17" t="s">
        <v>663</v>
      </c>
      <c r="C136" s="18" t="s">
        <v>662</v>
      </c>
      <c r="D136" s="17" t="s">
        <v>664</v>
      </c>
      <c r="E136" s="17" t="s">
        <v>665</v>
      </c>
      <c r="F136" s="17" t="s">
        <v>663</v>
      </c>
      <c r="G136" s="19">
        <v>42832</v>
      </c>
      <c r="I136" s="17" t="s">
        <v>666</v>
      </c>
      <c r="J136" s="17" t="s">
        <v>182</v>
      </c>
      <c r="K136" s="17" t="s">
        <v>89</v>
      </c>
      <c r="L136" s="17" t="s">
        <v>48</v>
      </c>
      <c r="M136" s="17" t="s">
        <v>77</v>
      </c>
      <c r="N136" s="17" t="s">
        <v>50</v>
      </c>
      <c r="O136" s="17" t="s">
        <v>51</v>
      </c>
      <c r="P136" s="17" t="s">
        <v>68</v>
      </c>
      <c r="Q136" s="17" t="s">
        <v>134</v>
      </c>
      <c r="R136" s="17">
        <v>9</v>
      </c>
    </row>
    <row r="137" spans="1:18" x14ac:dyDescent="0.2">
      <c r="A137" s="18" t="s">
        <v>667</v>
      </c>
      <c r="B137" s="17" t="s">
        <v>668</v>
      </c>
      <c r="C137" s="18" t="s">
        <v>667</v>
      </c>
      <c r="D137" s="17" t="s">
        <v>669</v>
      </c>
      <c r="E137" s="17" t="s">
        <v>670</v>
      </c>
      <c r="F137" s="17" t="s">
        <v>668</v>
      </c>
      <c r="G137" s="19">
        <v>42832</v>
      </c>
      <c r="I137" s="17" t="s">
        <v>507</v>
      </c>
      <c r="J137" s="17" t="s">
        <v>101</v>
      </c>
      <c r="K137" s="17" t="s">
        <v>89</v>
      </c>
      <c r="L137" s="17" t="s">
        <v>115</v>
      </c>
      <c r="M137" s="17" t="s">
        <v>77</v>
      </c>
      <c r="N137" s="17" t="s">
        <v>50</v>
      </c>
      <c r="O137" s="17" t="s">
        <v>51</v>
      </c>
      <c r="P137" s="17" t="s">
        <v>68</v>
      </c>
      <c r="Q137" s="17" t="s">
        <v>128</v>
      </c>
      <c r="R137" s="17">
        <v>5</v>
      </c>
    </row>
    <row r="138" spans="1:18" x14ac:dyDescent="0.2">
      <c r="A138" s="18" t="s">
        <v>671</v>
      </c>
      <c r="B138" s="17" t="s">
        <v>672</v>
      </c>
      <c r="C138" s="18" t="s">
        <v>671</v>
      </c>
      <c r="D138" s="17" t="s">
        <v>673</v>
      </c>
      <c r="E138" s="17" t="s">
        <v>674</v>
      </c>
      <c r="F138" s="17" t="s">
        <v>672</v>
      </c>
      <c r="G138" s="19">
        <v>42857</v>
      </c>
      <c r="I138" s="17" t="s">
        <v>675</v>
      </c>
      <c r="J138" s="17" t="s">
        <v>127</v>
      </c>
      <c r="K138" s="17" t="s">
        <v>67</v>
      </c>
      <c r="L138" s="17" t="s">
        <v>48</v>
      </c>
      <c r="M138" s="17" t="s">
        <v>49</v>
      </c>
      <c r="N138" s="17" t="s">
        <v>50</v>
      </c>
      <c r="O138" s="17" t="s">
        <v>51</v>
      </c>
      <c r="P138" s="17" t="s">
        <v>68</v>
      </c>
      <c r="Q138" s="17" t="s">
        <v>108</v>
      </c>
      <c r="R138" s="17">
        <v>11</v>
      </c>
    </row>
    <row r="139" spans="1:18" x14ac:dyDescent="0.2">
      <c r="A139" s="18" t="s">
        <v>676</v>
      </c>
      <c r="B139" s="17" t="s">
        <v>677</v>
      </c>
      <c r="C139" s="18" t="s">
        <v>676</v>
      </c>
      <c r="D139" s="17" t="s">
        <v>678</v>
      </c>
      <c r="E139" s="17" t="s">
        <v>679</v>
      </c>
      <c r="F139" s="17" t="s">
        <v>677</v>
      </c>
      <c r="G139" s="19">
        <v>42857</v>
      </c>
      <c r="I139" s="17" t="s">
        <v>324</v>
      </c>
      <c r="J139" s="17" t="s">
        <v>127</v>
      </c>
      <c r="K139" s="17" t="s">
        <v>67</v>
      </c>
      <c r="L139" s="17" t="s">
        <v>48</v>
      </c>
      <c r="M139" s="17" t="s">
        <v>77</v>
      </c>
      <c r="N139" s="17" t="s">
        <v>50</v>
      </c>
      <c r="O139" s="17" t="s">
        <v>51</v>
      </c>
      <c r="P139" s="17" t="s">
        <v>68</v>
      </c>
      <c r="Q139" s="17" t="s">
        <v>140</v>
      </c>
      <c r="R139" s="17">
        <v>1</v>
      </c>
    </row>
    <row r="140" spans="1:18" x14ac:dyDescent="0.2">
      <c r="A140" s="18" t="s">
        <v>680</v>
      </c>
      <c r="B140" s="17" t="s">
        <v>681</v>
      </c>
      <c r="C140" s="18" t="s">
        <v>680</v>
      </c>
      <c r="D140" s="17" t="s">
        <v>682</v>
      </c>
      <c r="E140" s="17" t="s">
        <v>683</v>
      </c>
      <c r="F140" s="17" t="s">
        <v>681</v>
      </c>
      <c r="G140" s="19">
        <v>42863</v>
      </c>
      <c r="I140" s="17" t="s">
        <v>369</v>
      </c>
      <c r="J140" s="17" t="s">
        <v>114</v>
      </c>
      <c r="K140" s="17" t="s">
        <v>95</v>
      </c>
      <c r="L140" s="17" t="s">
        <v>115</v>
      </c>
      <c r="M140" s="17" t="s">
        <v>49</v>
      </c>
      <c r="N140" s="17" t="s">
        <v>50</v>
      </c>
      <c r="O140" s="17" t="s">
        <v>51</v>
      </c>
      <c r="P140" s="17" t="s">
        <v>68</v>
      </c>
      <c r="Q140" s="17" t="s">
        <v>148</v>
      </c>
      <c r="R140" s="17">
        <v>2</v>
      </c>
    </row>
    <row r="141" spans="1:18" x14ac:dyDescent="0.2">
      <c r="A141" s="18" t="s">
        <v>684</v>
      </c>
      <c r="B141" s="17" t="s">
        <v>685</v>
      </c>
      <c r="C141" s="18" t="s">
        <v>684</v>
      </c>
      <c r="D141" s="17" t="s">
        <v>686</v>
      </c>
      <c r="E141" s="17" t="s">
        <v>687</v>
      </c>
      <c r="F141" s="17" t="s">
        <v>685</v>
      </c>
      <c r="G141" s="19">
        <v>42870</v>
      </c>
      <c r="I141" s="17" t="s">
        <v>688</v>
      </c>
      <c r="J141" s="17" t="s">
        <v>114</v>
      </c>
      <c r="K141" s="17" t="s">
        <v>95</v>
      </c>
      <c r="L141" s="17" t="s">
        <v>115</v>
      </c>
      <c r="M141" s="17" t="s">
        <v>49</v>
      </c>
      <c r="N141" s="17" t="s">
        <v>50</v>
      </c>
      <c r="O141" s="17" t="s">
        <v>51</v>
      </c>
      <c r="P141" s="17" t="s">
        <v>68</v>
      </c>
      <c r="Q141" s="17" t="s">
        <v>69</v>
      </c>
      <c r="R141" s="17">
        <v>1</v>
      </c>
    </row>
    <row r="142" spans="1:18" x14ac:dyDescent="0.2">
      <c r="A142" s="18" t="s">
        <v>689</v>
      </c>
      <c r="B142" s="17" t="s">
        <v>690</v>
      </c>
      <c r="C142" s="18" t="s">
        <v>689</v>
      </c>
      <c r="D142" s="17" t="s">
        <v>691</v>
      </c>
      <c r="E142" s="17" t="s">
        <v>692</v>
      </c>
      <c r="F142" s="17" t="s">
        <v>690</v>
      </c>
      <c r="G142" s="19">
        <v>42870</v>
      </c>
      <c r="I142" s="17" t="s">
        <v>157</v>
      </c>
      <c r="J142" s="17" t="s">
        <v>114</v>
      </c>
      <c r="K142" s="17" t="s">
        <v>95</v>
      </c>
      <c r="L142" s="17" t="s">
        <v>115</v>
      </c>
      <c r="M142" s="17" t="s">
        <v>49</v>
      </c>
      <c r="N142" s="17" t="s">
        <v>50</v>
      </c>
      <c r="O142" s="17" t="s">
        <v>51</v>
      </c>
      <c r="P142" s="17" t="s">
        <v>52</v>
      </c>
      <c r="Q142" s="17" t="s">
        <v>53</v>
      </c>
      <c r="R142" s="17">
        <v>1</v>
      </c>
    </row>
    <row r="143" spans="1:18" x14ac:dyDescent="0.2">
      <c r="A143" s="18" t="s">
        <v>693</v>
      </c>
      <c r="B143" s="17" t="s">
        <v>694</v>
      </c>
      <c r="C143" s="18" t="s">
        <v>693</v>
      </c>
      <c r="D143" s="17" t="s">
        <v>695</v>
      </c>
      <c r="E143" s="17" t="s">
        <v>696</v>
      </c>
      <c r="F143" s="17" t="s">
        <v>694</v>
      </c>
      <c r="G143" s="19">
        <v>42873</v>
      </c>
      <c r="I143" s="17" t="s">
        <v>688</v>
      </c>
      <c r="J143" s="17" t="s">
        <v>114</v>
      </c>
      <c r="K143" s="17" t="s">
        <v>95</v>
      </c>
      <c r="L143" s="17" t="s">
        <v>115</v>
      </c>
      <c r="M143" s="17" t="s">
        <v>49</v>
      </c>
      <c r="N143" s="17" t="s">
        <v>50</v>
      </c>
      <c r="O143" s="17" t="s">
        <v>51</v>
      </c>
      <c r="P143" s="17" t="s">
        <v>68</v>
      </c>
      <c r="Q143" s="17" t="s">
        <v>69</v>
      </c>
      <c r="R143" s="17">
        <v>1</v>
      </c>
    </row>
    <row r="144" spans="1:18" x14ac:dyDescent="0.2">
      <c r="A144" s="18" t="s">
        <v>697</v>
      </c>
      <c r="B144" s="17" t="s">
        <v>698</v>
      </c>
      <c r="C144" s="18" t="s">
        <v>697</v>
      </c>
      <c r="D144" s="17" t="s">
        <v>699</v>
      </c>
      <c r="E144" s="17" t="s">
        <v>700</v>
      </c>
      <c r="F144" s="17" t="s">
        <v>698</v>
      </c>
      <c r="G144" s="19">
        <v>42884</v>
      </c>
      <c r="I144" s="17" t="s">
        <v>191</v>
      </c>
      <c r="J144" s="17" t="s">
        <v>114</v>
      </c>
      <c r="K144" s="17" t="s">
        <v>95</v>
      </c>
      <c r="L144" s="17" t="s">
        <v>115</v>
      </c>
      <c r="M144" s="17" t="s">
        <v>77</v>
      </c>
      <c r="N144" s="17" t="s">
        <v>50</v>
      </c>
      <c r="O144" s="17" t="s">
        <v>51</v>
      </c>
      <c r="P144" s="17" t="s">
        <v>68</v>
      </c>
      <c r="Q144" s="17" t="s">
        <v>148</v>
      </c>
      <c r="R144" s="17">
        <v>1</v>
      </c>
    </row>
    <row r="145" spans="1:18" x14ac:dyDescent="0.2">
      <c r="A145" s="18" t="s">
        <v>701</v>
      </c>
      <c r="B145" s="17" t="s">
        <v>702</v>
      </c>
      <c r="C145" s="18" t="s">
        <v>701</v>
      </c>
      <c r="D145" s="17" t="s">
        <v>703</v>
      </c>
      <c r="E145" s="17" t="s">
        <v>704</v>
      </c>
      <c r="F145" s="17" t="s">
        <v>702</v>
      </c>
      <c r="G145" s="19">
        <v>42884</v>
      </c>
      <c r="I145" s="17" t="s">
        <v>705</v>
      </c>
      <c r="J145" s="17" t="s">
        <v>146</v>
      </c>
      <c r="K145" s="17" t="s">
        <v>95</v>
      </c>
      <c r="L145" s="17" t="s">
        <v>48</v>
      </c>
      <c r="M145" s="17" t="s">
        <v>77</v>
      </c>
      <c r="N145" s="17" t="s">
        <v>50</v>
      </c>
      <c r="O145" s="17" t="s">
        <v>147</v>
      </c>
      <c r="P145" s="17" t="s">
        <v>52</v>
      </c>
      <c r="Q145" s="17" t="s">
        <v>53</v>
      </c>
      <c r="R145" s="17">
        <v>5</v>
      </c>
    </row>
    <row r="146" spans="1:18" x14ac:dyDescent="0.2">
      <c r="A146" s="18" t="s">
        <v>706</v>
      </c>
      <c r="B146" s="17" t="s">
        <v>707</v>
      </c>
      <c r="C146" s="18" t="s">
        <v>706</v>
      </c>
      <c r="D146" s="17" t="s">
        <v>708</v>
      </c>
      <c r="E146" s="17" t="s">
        <v>709</v>
      </c>
      <c r="F146" s="17" t="s">
        <v>707</v>
      </c>
      <c r="G146" s="19">
        <v>42884</v>
      </c>
      <c r="I146" s="17" t="s">
        <v>191</v>
      </c>
      <c r="J146" s="17" t="s">
        <v>146</v>
      </c>
      <c r="K146" s="17" t="s">
        <v>95</v>
      </c>
      <c r="L146" s="17" t="s">
        <v>48</v>
      </c>
      <c r="M146" s="17" t="s">
        <v>77</v>
      </c>
      <c r="N146" s="17" t="s">
        <v>50</v>
      </c>
      <c r="O146" s="17" t="s">
        <v>147</v>
      </c>
      <c r="P146" s="17" t="s">
        <v>68</v>
      </c>
      <c r="Q146" s="17" t="s">
        <v>148</v>
      </c>
      <c r="R146" s="17">
        <v>1</v>
      </c>
    </row>
    <row r="147" spans="1:18" x14ac:dyDescent="0.2">
      <c r="A147" s="18" t="s">
        <v>710</v>
      </c>
      <c r="B147" s="17" t="s">
        <v>711</v>
      </c>
      <c r="C147" s="18" t="s">
        <v>710</v>
      </c>
      <c r="D147" s="17" t="s">
        <v>586</v>
      </c>
      <c r="E147" s="17" t="s">
        <v>712</v>
      </c>
      <c r="F147" s="17" t="s">
        <v>711</v>
      </c>
      <c r="G147" s="19">
        <v>42884</v>
      </c>
      <c r="I147" s="17" t="s">
        <v>713</v>
      </c>
      <c r="J147" s="17" t="s">
        <v>107</v>
      </c>
      <c r="K147" s="17" t="s">
        <v>67</v>
      </c>
      <c r="L147" s="17" t="s">
        <v>115</v>
      </c>
      <c r="M147" s="17" t="s">
        <v>77</v>
      </c>
      <c r="N147" s="17" t="s">
        <v>50</v>
      </c>
      <c r="O147" s="17" t="s">
        <v>51</v>
      </c>
      <c r="P147" s="17" t="s">
        <v>68</v>
      </c>
      <c r="Q147" s="17" t="s">
        <v>128</v>
      </c>
      <c r="R147" s="17">
        <v>1</v>
      </c>
    </row>
    <row r="148" spans="1:18" x14ac:dyDescent="0.2">
      <c r="A148" s="18" t="s">
        <v>714</v>
      </c>
      <c r="B148" s="17" t="s">
        <v>715</v>
      </c>
      <c r="C148" s="18" t="s">
        <v>714</v>
      </c>
      <c r="D148" s="17" t="s">
        <v>716</v>
      </c>
      <c r="E148" s="17" t="s">
        <v>717</v>
      </c>
      <c r="F148" s="17" t="s">
        <v>715</v>
      </c>
      <c r="G148" s="19">
        <v>42884</v>
      </c>
      <c r="I148" s="17" t="s">
        <v>718</v>
      </c>
      <c r="J148" s="17" t="s">
        <v>114</v>
      </c>
      <c r="K148" s="17" t="s">
        <v>95</v>
      </c>
      <c r="L148" s="17" t="s">
        <v>115</v>
      </c>
      <c r="M148" s="17" t="s">
        <v>77</v>
      </c>
      <c r="N148" s="17" t="s">
        <v>50</v>
      </c>
      <c r="O148" s="17" t="s">
        <v>51</v>
      </c>
      <c r="P148" s="17" t="s">
        <v>68</v>
      </c>
      <c r="Q148" s="17" t="s">
        <v>69</v>
      </c>
      <c r="R148" s="17">
        <v>1</v>
      </c>
    </row>
    <row r="149" spans="1:18" x14ac:dyDescent="0.2">
      <c r="A149" s="18" t="s">
        <v>719</v>
      </c>
      <c r="B149" s="17" t="s">
        <v>720</v>
      </c>
      <c r="C149" s="18" t="s">
        <v>719</v>
      </c>
      <c r="D149" s="17" t="s">
        <v>721</v>
      </c>
      <c r="E149" s="17" t="s">
        <v>722</v>
      </c>
      <c r="F149" s="17" t="s">
        <v>720</v>
      </c>
      <c r="G149" s="19">
        <v>42888</v>
      </c>
      <c r="I149" s="17" t="s">
        <v>723</v>
      </c>
      <c r="J149" s="17" t="s">
        <v>114</v>
      </c>
      <c r="K149" s="17" t="s">
        <v>95</v>
      </c>
      <c r="L149" s="17" t="s">
        <v>48</v>
      </c>
      <c r="M149" s="17" t="s">
        <v>49</v>
      </c>
      <c r="N149" s="17" t="s">
        <v>50</v>
      </c>
      <c r="O149" s="17" t="s">
        <v>51</v>
      </c>
      <c r="P149" s="17" t="s">
        <v>68</v>
      </c>
      <c r="Q149" s="17" t="s">
        <v>69</v>
      </c>
      <c r="R149" s="17">
        <v>1</v>
      </c>
    </row>
    <row r="150" spans="1:18" x14ac:dyDescent="0.2">
      <c r="A150" s="18" t="s">
        <v>724</v>
      </c>
      <c r="B150" s="17" t="s">
        <v>725</v>
      </c>
      <c r="C150" s="18" t="s">
        <v>724</v>
      </c>
      <c r="D150" s="17" t="s">
        <v>314</v>
      </c>
      <c r="E150" s="17" t="s">
        <v>726</v>
      </c>
      <c r="F150" s="17" t="s">
        <v>725</v>
      </c>
      <c r="G150" s="19">
        <v>42888</v>
      </c>
      <c r="I150" s="17" t="s">
        <v>727</v>
      </c>
      <c r="J150" s="17" t="s">
        <v>107</v>
      </c>
      <c r="K150" s="17" t="s">
        <v>67</v>
      </c>
      <c r="L150" s="17" t="s">
        <v>115</v>
      </c>
      <c r="M150" s="17" t="s">
        <v>77</v>
      </c>
      <c r="N150" s="17" t="s">
        <v>50</v>
      </c>
      <c r="O150" s="17" t="s">
        <v>51</v>
      </c>
      <c r="P150" s="17" t="s">
        <v>68</v>
      </c>
      <c r="Q150" s="17" t="s">
        <v>128</v>
      </c>
      <c r="R150" s="17">
        <v>1</v>
      </c>
    </row>
    <row r="151" spans="1:18" x14ac:dyDescent="0.2">
      <c r="A151" s="18" t="s">
        <v>728</v>
      </c>
      <c r="B151" s="17" t="s">
        <v>729</v>
      </c>
      <c r="C151" s="18" t="s">
        <v>728</v>
      </c>
      <c r="D151" s="17" t="s">
        <v>730</v>
      </c>
      <c r="E151" s="17" t="s">
        <v>731</v>
      </c>
      <c r="F151" s="17" t="s">
        <v>729</v>
      </c>
      <c r="G151" s="19">
        <v>42898</v>
      </c>
      <c r="I151" s="17" t="s">
        <v>732</v>
      </c>
      <c r="J151" s="17" t="s">
        <v>107</v>
      </c>
      <c r="K151" s="17" t="s">
        <v>67</v>
      </c>
      <c r="L151" s="17" t="s">
        <v>48</v>
      </c>
      <c r="M151" s="17" t="s">
        <v>49</v>
      </c>
      <c r="N151" s="17" t="s">
        <v>50</v>
      </c>
      <c r="O151" s="17" t="s">
        <v>51</v>
      </c>
      <c r="P151" s="17" t="s">
        <v>52</v>
      </c>
      <c r="Q151" s="17" t="s">
        <v>53</v>
      </c>
      <c r="R151" s="17">
        <v>1</v>
      </c>
    </row>
    <row r="152" spans="1:18" x14ac:dyDescent="0.2">
      <c r="A152" s="18" t="s">
        <v>733</v>
      </c>
      <c r="B152" s="17" t="s">
        <v>734</v>
      </c>
      <c r="C152" s="18" t="s">
        <v>733</v>
      </c>
      <c r="D152" s="17" t="s">
        <v>735</v>
      </c>
      <c r="E152" s="17" t="s">
        <v>736</v>
      </c>
      <c r="F152" s="17" t="s">
        <v>734</v>
      </c>
      <c r="G152" s="19">
        <v>42919</v>
      </c>
      <c r="I152" s="17" t="s">
        <v>737</v>
      </c>
      <c r="J152" s="17" t="s">
        <v>107</v>
      </c>
      <c r="K152" s="17" t="s">
        <v>67</v>
      </c>
      <c r="L152" s="17" t="s">
        <v>48</v>
      </c>
      <c r="M152" s="17" t="s">
        <v>49</v>
      </c>
      <c r="N152" s="17" t="s">
        <v>50</v>
      </c>
      <c r="O152" s="17" t="s">
        <v>51</v>
      </c>
      <c r="P152" s="17" t="s">
        <v>52</v>
      </c>
      <c r="Q152" s="17" t="s">
        <v>579</v>
      </c>
      <c r="R152" s="17">
        <v>10</v>
      </c>
    </row>
    <row r="153" spans="1:18" x14ac:dyDescent="0.2">
      <c r="A153" s="18" t="s">
        <v>738</v>
      </c>
      <c r="B153" s="17" t="s">
        <v>739</v>
      </c>
      <c r="C153" s="18" t="s">
        <v>738</v>
      </c>
      <c r="D153" s="17" t="s">
        <v>305</v>
      </c>
      <c r="E153" s="17" t="s">
        <v>740</v>
      </c>
      <c r="F153" s="17" t="s">
        <v>739</v>
      </c>
      <c r="G153" s="19">
        <v>43013</v>
      </c>
      <c r="I153" s="17" t="s">
        <v>741</v>
      </c>
      <c r="J153" s="17" t="s">
        <v>742</v>
      </c>
      <c r="K153" s="17" t="s">
        <v>743</v>
      </c>
      <c r="L153" s="17" t="s">
        <v>48</v>
      </c>
      <c r="M153" s="17" t="s">
        <v>77</v>
      </c>
      <c r="N153" s="17" t="s">
        <v>50</v>
      </c>
      <c r="O153" s="17" t="s">
        <v>51</v>
      </c>
      <c r="P153" s="17" t="s">
        <v>52</v>
      </c>
      <c r="Q153" s="17" t="s">
        <v>53</v>
      </c>
      <c r="R153" s="17">
        <v>1</v>
      </c>
    </row>
    <row r="154" spans="1:18" x14ac:dyDescent="0.2">
      <c r="A154" s="18" t="s">
        <v>744</v>
      </c>
      <c r="B154" s="17" t="s">
        <v>745</v>
      </c>
      <c r="C154" s="18" t="s">
        <v>744</v>
      </c>
      <c r="D154" s="17" t="s">
        <v>746</v>
      </c>
      <c r="E154" s="17" t="s">
        <v>747</v>
      </c>
      <c r="F154" s="17" t="s">
        <v>745</v>
      </c>
      <c r="G154" s="19">
        <v>43024</v>
      </c>
      <c r="I154" s="17" t="s">
        <v>120</v>
      </c>
      <c r="J154" s="17" t="s">
        <v>114</v>
      </c>
      <c r="K154" s="17" t="s">
        <v>95</v>
      </c>
      <c r="L154" s="17" t="s">
        <v>115</v>
      </c>
      <c r="M154" s="17" t="s">
        <v>49</v>
      </c>
      <c r="N154" s="17" t="s">
        <v>50</v>
      </c>
      <c r="O154" s="17" t="s">
        <v>51</v>
      </c>
      <c r="P154" s="17" t="s">
        <v>68</v>
      </c>
      <c r="Q154" s="17" t="s">
        <v>121</v>
      </c>
      <c r="R154" s="17">
        <v>1</v>
      </c>
    </row>
    <row r="155" spans="1:18" x14ac:dyDescent="0.2">
      <c r="A155" s="18" t="s">
        <v>748</v>
      </c>
      <c r="B155" s="17" t="s">
        <v>749</v>
      </c>
      <c r="C155" s="18" t="s">
        <v>748</v>
      </c>
      <c r="D155" s="17" t="s">
        <v>750</v>
      </c>
      <c r="E155" s="17" t="s">
        <v>751</v>
      </c>
      <c r="F155" s="17" t="s">
        <v>749</v>
      </c>
      <c r="G155" s="19">
        <v>43024</v>
      </c>
      <c r="I155" s="17" t="s">
        <v>162</v>
      </c>
      <c r="J155" s="17" t="s">
        <v>107</v>
      </c>
      <c r="K155" s="17" t="s">
        <v>67</v>
      </c>
      <c r="L155" s="17" t="s">
        <v>115</v>
      </c>
      <c r="M155" s="17" t="s">
        <v>77</v>
      </c>
      <c r="N155" s="17" t="s">
        <v>50</v>
      </c>
      <c r="O155" s="17" t="s">
        <v>51</v>
      </c>
      <c r="P155" s="17" t="s">
        <v>68</v>
      </c>
      <c r="Q155" s="17" t="s">
        <v>148</v>
      </c>
      <c r="R155" s="17">
        <v>1</v>
      </c>
    </row>
    <row r="156" spans="1:18" x14ac:dyDescent="0.2">
      <c r="A156" s="18" t="s">
        <v>752</v>
      </c>
      <c r="B156" s="17" t="s">
        <v>753</v>
      </c>
      <c r="C156" s="18" t="s">
        <v>752</v>
      </c>
      <c r="D156" s="17" t="s">
        <v>754</v>
      </c>
      <c r="E156" s="17" t="s">
        <v>755</v>
      </c>
      <c r="F156" s="17" t="s">
        <v>753</v>
      </c>
      <c r="G156" s="19">
        <v>43028</v>
      </c>
      <c r="I156" s="17" t="s">
        <v>113</v>
      </c>
      <c r="J156" s="17" t="s">
        <v>114</v>
      </c>
      <c r="K156" s="17" t="s">
        <v>95</v>
      </c>
      <c r="L156" s="17" t="s">
        <v>115</v>
      </c>
      <c r="M156" s="17" t="s">
        <v>49</v>
      </c>
      <c r="N156" s="17" t="s">
        <v>50</v>
      </c>
      <c r="O156" s="17" t="s">
        <v>51</v>
      </c>
      <c r="P156" s="17" t="s">
        <v>68</v>
      </c>
      <c r="Q156" s="17" t="s">
        <v>108</v>
      </c>
      <c r="R156" s="17">
        <v>1</v>
      </c>
    </row>
    <row r="157" spans="1:18" x14ac:dyDescent="0.2">
      <c r="A157" s="18" t="s">
        <v>756</v>
      </c>
      <c r="B157" s="17" t="s">
        <v>757</v>
      </c>
      <c r="C157" s="18" t="s">
        <v>756</v>
      </c>
      <c r="D157" s="17" t="s">
        <v>758</v>
      </c>
      <c r="E157" s="17" t="s">
        <v>759</v>
      </c>
      <c r="F157" s="17" t="s">
        <v>757</v>
      </c>
      <c r="G157" s="19">
        <v>43038</v>
      </c>
      <c r="I157" s="17" t="s">
        <v>760</v>
      </c>
      <c r="J157" s="17" t="s">
        <v>59</v>
      </c>
      <c r="K157" s="17" t="s">
        <v>60</v>
      </c>
      <c r="L157" s="17" t="s">
        <v>48</v>
      </c>
      <c r="M157" s="17" t="s">
        <v>49</v>
      </c>
      <c r="N157" s="17" t="s">
        <v>50</v>
      </c>
      <c r="O157" s="17" t="s">
        <v>51</v>
      </c>
      <c r="P157" s="17" t="s">
        <v>52</v>
      </c>
      <c r="Q157" s="17" t="s">
        <v>650</v>
      </c>
      <c r="R157" s="17">
        <v>10</v>
      </c>
    </row>
    <row r="158" spans="1:18" x14ac:dyDescent="0.2">
      <c r="A158" s="18" t="s">
        <v>761</v>
      </c>
      <c r="B158" s="17" t="s">
        <v>762</v>
      </c>
      <c r="C158" s="18" t="s">
        <v>761</v>
      </c>
      <c r="D158" s="17" t="s">
        <v>763</v>
      </c>
      <c r="E158" s="17" t="s">
        <v>764</v>
      </c>
      <c r="F158" s="17" t="s">
        <v>762</v>
      </c>
      <c r="G158" s="19">
        <v>43077</v>
      </c>
      <c r="I158" s="17" t="s">
        <v>196</v>
      </c>
      <c r="J158" s="17" t="s">
        <v>197</v>
      </c>
      <c r="K158" s="17" t="s">
        <v>198</v>
      </c>
      <c r="L158" s="17" t="s">
        <v>115</v>
      </c>
      <c r="M158" s="17" t="s">
        <v>77</v>
      </c>
      <c r="N158" s="17" t="s">
        <v>50</v>
      </c>
      <c r="O158" s="17" t="s">
        <v>51</v>
      </c>
      <c r="P158" s="17" t="s">
        <v>68</v>
      </c>
      <c r="Q158" s="17" t="s">
        <v>148</v>
      </c>
      <c r="R158" s="17">
        <v>1</v>
      </c>
    </row>
    <row r="159" spans="1:18" x14ac:dyDescent="0.2">
      <c r="A159" s="18" t="s">
        <v>765</v>
      </c>
      <c r="B159" s="17" t="s">
        <v>766</v>
      </c>
      <c r="C159" s="18" t="s">
        <v>765</v>
      </c>
      <c r="D159" s="17" t="s">
        <v>767</v>
      </c>
      <c r="E159" s="17" t="s">
        <v>768</v>
      </c>
      <c r="F159" s="17" t="s">
        <v>766</v>
      </c>
      <c r="G159" s="19">
        <v>43077</v>
      </c>
      <c r="I159" s="17" t="s">
        <v>162</v>
      </c>
      <c r="J159" s="17" t="s">
        <v>107</v>
      </c>
      <c r="K159" s="17" t="s">
        <v>67</v>
      </c>
      <c r="L159" s="17" t="s">
        <v>115</v>
      </c>
      <c r="M159" s="17" t="s">
        <v>77</v>
      </c>
      <c r="N159" s="17" t="s">
        <v>50</v>
      </c>
      <c r="O159" s="17" t="s">
        <v>51</v>
      </c>
      <c r="P159" s="17" t="s">
        <v>68</v>
      </c>
      <c r="Q159" s="17" t="s">
        <v>148</v>
      </c>
      <c r="R159" s="17">
        <v>1</v>
      </c>
    </row>
    <row r="160" spans="1:18" x14ac:dyDescent="0.2">
      <c r="A160" s="18" t="s">
        <v>769</v>
      </c>
      <c r="B160" s="17" t="s">
        <v>770</v>
      </c>
      <c r="C160" s="18" t="s">
        <v>769</v>
      </c>
      <c r="D160" s="17" t="s">
        <v>573</v>
      </c>
      <c r="E160" s="17" t="s">
        <v>771</v>
      </c>
      <c r="F160" s="17" t="s">
        <v>770</v>
      </c>
      <c r="G160" s="19">
        <v>43087</v>
      </c>
      <c r="I160" s="17" t="s">
        <v>772</v>
      </c>
      <c r="J160" s="17" t="s">
        <v>95</v>
      </c>
      <c r="K160" s="17" t="s">
        <v>95</v>
      </c>
      <c r="L160" s="17" t="s">
        <v>48</v>
      </c>
      <c r="M160" s="17" t="s">
        <v>77</v>
      </c>
      <c r="N160" s="17" t="s">
        <v>50</v>
      </c>
      <c r="O160" s="17" t="s">
        <v>51</v>
      </c>
      <c r="P160" s="17" t="s">
        <v>52</v>
      </c>
      <c r="Q160" s="17" t="s">
        <v>579</v>
      </c>
      <c r="R160" s="17">
        <v>8</v>
      </c>
    </row>
    <row r="161" spans="1:18" x14ac:dyDescent="0.2">
      <c r="A161" s="18" t="s">
        <v>773</v>
      </c>
      <c r="B161" s="17" t="s">
        <v>774</v>
      </c>
      <c r="C161" s="18" t="s">
        <v>773</v>
      </c>
      <c r="D161" s="17" t="s">
        <v>775</v>
      </c>
      <c r="E161" s="17" t="s">
        <v>776</v>
      </c>
      <c r="F161" s="17" t="s">
        <v>774</v>
      </c>
      <c r="G161" s="19">
        <v>43102</v>
      </c>
      <c r="I161" s="17" t="s">
        <v>777</v>
      </c>
      <c r="J161" s="17" t="s">
        <v>197</v>
      </c>
      <c r="K161" s="17" t="s">
        <v>198</v>
      </c>
      <c r="L161" s="17" t="s">
        <v>48</v>
      </c>
      <c r="M161" s="17" t="s">
        <v>49</v>
      </c>
      <c r="N161" s="17" t="s">
        <v>50</v>
      </c>
      <c r="O161" s="17" t="s">
        <v>51</v>
      </c>
      <c r="P161" s="17" t="s">
        <v>52</v>
      </c>
      <c r="Q161" s="17" t="s">
        <v>579</v>
      </c>
      <c r="R161" s="17">
        <v>1</v>
      </c>
    </row>
    <row r="162" spans="1:18" x14ac:dyDescent="0.2">
      <c r="A162" s="18" t="s">
        <v>778</v>
      </c>
      <c r="B162" s="17" t="s">
        <v>779</v>
      </c>
      <c r="C162" s="18" t="s">
        <v>778</v>
      </c>
      <c r="D162" s="17" t="s">
        <v>780</v>
      </c>
      <c r="E162" s="17" t="s">
        <v>781</v>
      </c>
      <c r="F162" s="17" t="s">
        <v>779</v>
      </c>
      <c r="G162" s="19">
        <v>43115</v>
      </c>
      <c r="I162" s="17" t="s">
        <v>782</v>
      </c>
      <c r="J162" s="17" t="s">
        <v>84</v>
      </c>
      <c r="K162" s="17" t="s">
        <v>67</v>
      </c>
      <c r="L162" s="17" t="s">
        <v>48</v>
      </c>
      <c r="M162" s="17" t="s">
        <v>77</v>
      </c>
      <c r="N162" s="17" t="s">
        <v>50</v>
      </c>
      <c r="O162" s="17" t="s">
        <v>51</v>
      </c>
      <c r="P162" s="17" t="s">
        <v>52</v>
      </c>
      <c r="Q162" s="17" t="s">
        <v>61</v>
      </c>
      <c r="R162" s="17">
        <v>2</v>
      </c>
    </row>
    <row r="163" spans="1:18" x14ac:dyDescent="0.2">
      <c r="A163" s="18" t="s">
        <v>783</v>
      </c>
      <c r="B163" s="17" t="s">
        <v>784</v>
      </c>
      <c r="C163" s="18" t="s">
        <v>783</v>
      </c>
      <c r="D163" s="17" t="s">
        <v>735</v>
      </c>
      <c r="E163" s="17" t="s">
        <v>785</v>
      </c>
      <c r="F163" s="17" t="s">
        <v>784</v>
      </c>
      <c r="G163" s="19">
        <v>43115</v>
      </c>
      <c r="I163" s="17" t="s">
        <v>786</v>
      </c>
      <c r="J163" s="17" t="s">
        <v>84</v>
      </c>
      <c r="K163" s="17" t="s">
        <v>67</v>
      </c>
      <c r="L163" s="17" t="s">
        <v>48</v>
      </c>
      <c r="M163" s="17" t="s">
        <v>49</v>
      </c>
      <c r="N163" s="17" t="s">
        <v>50</v>
      </c>
      <c r="O163" s="17" t="s">
        <v>51</v>
      </c>
      <c r="P163" s="17" t="s">
        <v>68</v>
      </c>
      <c r="Q163" s="17" t="s">
        <v>69</v>
      </c>
      <c r="R163" s="17">
        <v>3</v>
      </c>
    </row>
    <row r="164" spans="1:18" x14ac:dyDescent="0.2">
      <c r="A164" s="18" t="s">
        <v>787</v>
      </c>
      <c r="B164" s="17" t="s">
        <v>788</v>
      </c>
      <c r="C164" s="18" t="s">
        <v>787</v>
      </c>
      <c r="D164" s="17" t="s">
        <v>789</v>
      </c>
      <c r="E164" s="17" t="s">
        <v>790</v>
      </c>
      <c r="F164" s="17" t="s">
        <v>788</v>
      </c>
      <c r="G164" s="19">
        <v>43122</v>
      </c>
      <c r="I164" s="17" t="s">
        <v>167</v>
      </c>
      <c r="J164" s="17" t="s">
        <v>114</v>
      </c>
      <c r="K164" s="17" t="s">
        <v>95</v>
      </c>
      <c r="L164" s="17" t="s">
        <v>115</v>
      </c>
      <c r="M164" s="17" t="s">
        <v>77</v>
      </c>
      <c r="N164" s="17" t="s">
        <v>50</v>
      </c>
      <c r="O164" s="17" t="s">
        <v>51</v>
      </c>
      <c r="P164" s="17" t="s">
        <v>68</v>
      </c>
      <c r="Q164" s="17" t="s">
        <v>69</v>
      </c>
      <c r="R164" s="17">
        <v>6</v>
      </c>
    </row>
    <row r="165" spans="1:18" x14ac:dyDescent="0.2">
      <c r="A165" s="18" t="s">
        <v>791</v>
      </c>
      <c r="B165" s="17" t="s">
        <v>792</v>
      </c>
      <c r="C165" s="18" t="s">
        <v>791</v>
      </c>
      <c r="D165" s="17" t="s">
        <v>793</v>
      </c>
      <c r="E165" s="17" t="s">
        <v>794</v>
      </c>
      <c r="F165" s="17" t="s">
        <v>792</v>
      </c>
      <c r="G165" s="19">
        <v>43132</v>
      </c>
      <c r="I165" s="17" t="s">
        <v>795</v>
      </c>
      <c r="J165" s="17" t="s">
        <v>114</v>
      </c>
      <c r="K165" s="17" t="s">
        <v>95</v>
      </c>
      <c r="L165" s="17" t="s">
        <v>48</v>
      </c>
      <c r="M165" s="17" t="s">
        <v>49</v>
      </c>
      <c r="N165" s="17" t="s">
        <v>50</v>
      </c>
      <c r="O165" s="17" t="s">
        <v>51</v>
      </c>
      <c r="P165" s="17" t="s">
        <v>52</v>
      </c>
      <c r="Q165" s="17" t="s">
        <v>579</v>
      </c>
      <c r="R165" s="17">
        <v>10</v>
      </c>
    </row>
    <row r="166" spans="1:18" x14ac:dyDescent="0.2">
      <c r="A166" s="18" t="s">
        <v>796</v>
      </c>
      <c r="B166" s="17" t="s">
        <v>797</v>
      </c>
      <c r="C166" s="18" t="s">
        <v>796</v>
      </c>
      <c r="D166" s="17" t="s">
        <v>798</v>
      </c>
      <c r="E166" s="17" t="s">
        <v>799</v>
      </c>
      <c r="F166" s="17" t="s">
        <v>797</v>
      </c>
      <c r="G166" s="19">
        <v>43136</v>
      </c>
      <c r="I166" s="17" t="s">
        <v>800</v>
      </c>
      <c r="J166" s="17" t="s">
        <v>107</v>
      </c>
      <c r="K166" s="17" t="s">
        <v>67</v>
      </c>
      <c r="L166" s="17" t="s">
        <v>48</v>
      </c>
      <c r="M166" s="17" t="s">
        <v>77</v>
      </c>
      <c r="N166" s="17" t="s">
        <v>50</v>
      </c>
      <c r="O166" s="17" t="s">
        <v>51</v>
      </c>
      <c r="P166" s="17" t="s">
        <v>52</v>
      </c>
      <c r="Q166" s="17" t="s">
        <v>53</v>
      </c>
      <c r="R166" s="17">
        <v>1</v>
      </c>
    </row>
    <row r="167" spans="1:18" x14ac:dyDescent="0.2">
      <c r="A167" s="18" t="s">
        <v>801</v>
      </c>
      <c r="B167" s="17" t="s">
        <v>802</v>
      </c>
      <c r="C167" s="18" t="s">
        <v>801</v>
      </c>
      <c r="D167" s="17" t="s">
        <v>803</v>
      </c>
      <c r="E167" s="17" t="s">
        <v>804</v>
      </c>
      <c r="F167" s="17" t="s">
        <v>802</v>
      </c>
      <c r="G167" s="19">
        <v>43168</v>
      </c>
      <c r="I167" s="17" t="s">
        <v>145</v>
      </c>
      <c r="J167" s="17" t="s">
        <v>805</v>
      </c>
      <c r="K167" s="17" t="s">
        <v>89</v>
      </c>
      <c r="L167" s="17" t="s">
        <v>48</v>
      </c>
      <c r="M167" s="17" t="s">
        <v>77</v>
      </c>
      <c r="N167" s="17" t="s">
        <v>50</v>
      </c>
      <c r="O167" s="17" t="s">
        <v>147</v>
      </c>
      <c r="P167" s="17" t="s">
        <v>68</v>
      </c>
      <c r="Q167" s="17" t="s">
        <v>140</v>
      </c>
      <c r="R167" s="17">
        <v>2</v>
      </c>
    </row>
    <row r="168" spans="1:18" x14ac:dyDescent="0.2">
      <c r="A168" s="18" t="s">
        <v>806</v>
      </c>
      <c r="B168" s="17" t="s">
        <v>807</v>
      </c>
      <c r="C168" s="18" t="s">
        <v>806</v>
      </c>
      <c r="D168" s="17" t="s">
        <v>808</v>
      </c>
      <c r="E168" s="17" t="s">
        <v>809</v>
      </c>
      <c r="F168" s="17" t="s">
        <v>807</v>
      </c>
      <c r="G168" s="19">
        <v>43168</v>
      </c>
      <c r="I168" s="17" t="s">
        <v>713</v>
      </c>
      <c r="J168" s="17" t="s">
        <v>107</v>
      </c>
      <c r="K168" s="17" t="s">
        <v>67</v>
      </c>
      <c r="L168" s="17" t="s">
        <v>115</v>
      </c>
      <c r="M168" s="17" t="s">
        <v>77</v>
      </c>
      <c r="N168" s="17" t="s">
        <v>50</v>
      </c>
      <c r="O168" s="17" t="s">
        <v>51</v>
      </c>
      <c r="P168" s="17" t="s">
        <v>68</v>
      </c>
      <c r="Q168" s="17" t="s">
        <v>128</v>
      </c>
      <c r="R168" s="17">
        <v>1</v>
      </c>
    </row>
    <row r="169" spans="1:18" x14ac:dyDescent="0.2">
      <c r="A169" s="18" t="s">
        <v>810</v>
      </c>
      <c r="B169" s="17" t="s">
        <v>811</v>
      </c>
      <c r="C169" s="18" t="s">
        <v>810</v>
      </c>
      <c r="D169" s="17" t="s">
        <v>812</v>
      </c>
      <c r="E169" s="17" t="s">
        <v>813</v>
      </c>
      <c r="F169" s="17" t="s">
        <v>811</v>
      </c>
      <c r="G169" s="19">
        <v>43168</v>
      </c>
      <c r="I169" s="17" t="s">
        <v>307</v>
      </c>
      <c r="J169" s="17" t="s">
        <v>182</v>
      </c>
      <c r="K169" s="17" t="s">
        <v>89</v>
      </c>
      <c r="L169" s="17" t="s">
        <v>115</v>
      </c>
      <c r="M169" s="17" t="s">
        <v>77</v>
      </c>
      <c r="N169" s="17" t="s">
        <v>50</v>
      </c>
      <c r="O169" s="17" t="s">
        <v>51</v>
      </c>
      <c r="P169" s="17" t="s">
        <v>68</v>
      </c>
      <c r="Q169" s="17" t="s">
        <v>148</v>
      </c>
      <c r="R169" s="17">
        <v>1</v>
      </c>
    </row>
    <row r="170" spans="1:18" x14ac:dyDescent="0.2">
      <c r="A170" s="18" t="s">
        <v>814</v>
      </c>
      <c r="B170" s="17" t="s">
        <v>815</v>
      </c>
      <c r="C170" s="18" t="s">
        <v>814</v>
      </c>
      <c r="D170" s="17" t="s">
        <v>816</v>
      </c>
      <c r="E170" s="17" t="s">
        <v>817</v>
      </c>
      <c r="F170" s="17" t="s">
        <v>815</v>
      </c>
      <c r="G170" s="19">
        <v>43175</v>
      </c>
      <c r="I170" s="17" t="s">
        <v>162</v>
      </c>
      <c r="J170" s="17" t="s">
        <v>107</v>
      </c>
      <c r="K170" s="17" t="s">
        <v>67</v>
      </c>
      <c r="L170" s="17" t="s">
        <v>115</v>
      </c>
      <c r="M170" s="17" t="s">
        <v>77</v>
      </c>
      <c r="N170" s="17" t="s">
        <v>50</v>
      </c>
      <c r="O170" s="17" t="s">
        <v>51</v>
      </c>
      <c r="P170" s="17" t="s">
        <v>68</v>
      </c>
      <c r="Q170" s="17" t="s">
        <v>148</v>
      </c>
      <c r="R170" s="17">
        <v>1</v>
      </c>
    </row>
    <row r="171" spans="1:18" x14ac:dyDescent="0.2">
      <c r="A171" s="18" t="s">
        <v>818</v>
      </c>
      <c r="B171" s="17" t="s">
        <v>819</v>
      </c>
      <c r="C171" s="18" t="s">
        <v>818</v>
      </c>
      <c r="D171" s="17" t="s">
        <v>820</v>
      </c>
      <c r="E171" s="17" t="s">
        <v>821</v>
      </c>
      <c r="F171" s="17" t="s">
        <v>819</v>
      </c>
      <c r="G171" s="19">
        <v>43182</v>
      </c>
      <c r="I171" s="17" t="s">
        <v>822</v>
      </c>
      <c r="J171" s="17" t="s">
        <v>823</v>
      </c>
      <c r="K171" s="17" t="s">
        <v>67</v>
      </c>
      <c r="L171" s="17" t="s">
        <v>48</v>
      </c>
      <c r="M171" s="17" t="s">
        <v>77</v>
      </c>
      <c r="N171" s="17" t="s">
        <v>50</v>
      </c>
      <c r="O171" s="17" t="s">
        <v>51</v>
      </c>
      <c r="P171" s="17" t="s">
        <v>52</v>
      </c>
      <c r="Q171" s="17" t="s">
        <v>53</v>
      </c>
      <c r="R171" s="17">
        <v>4</v>
      </c>
    </row>
    <row r="172" spans="1:18" x14ac:dyDescent="0.2">
      <c r="A172" s="18" t="s">
        <v>824</v>
      </c>
      <c r="B172" s="17" t="s">
        <v>825</v>
      </c>
      <c r="C172" s="18" t="s">
        <v>824</v>
      </c>
      <c r="D172" s="17" t="s">
        <v>826</v>
      </c>
      <c r="E172" s="17" t="s">
        <v>827</v>
      </c>
      <c r="F172" s="17" t="s">
        <v>825</v>
      </c>
      <c r="G172" s="19">
        <v>43207</v>
      </c>
      <c r="I172" s="17" t="s">
        <v>828</v>
      </c>
      <c r="J172" s="17" t="s">
        <v>823</v>
      </c>
      <c r="K172" s="17" t="s">
        <v>67</v>
      </c>
      <c r="L172" s="17" t="s">
        <v>48</v>
      </c>
      <c r="M172" s="17" t="s">
        <v>49</v>
      </c>
      <c r="N172" s="17" t="s">
        <v>50</v>
      </c>
      <c r="O172" s="17" t="s">
        <v>51</v>
      </c>
      <c r="P172" s="17" t="s">
        <v>68</v>
      </c>
      <c r="Q172" s="17" t="s">
        <v>108</v>
      </c>
      <c r="R172" s="17">
        <v>3</v>
      </c>
    </row>
    <row r="173" spans="1:18" x14ac:dyDescent="0.2">
      <c r="A173" s="18" t="s">
        <v>829</v>
      </c>
      <c r="B173" s="17" t="s">
        <v>830</v>
      </c>
      <c r="C173" s="18" t="s">
        <v>829</v>
      </c>
      <c r="D173" s="17" t="s">
        <v>831</v>
      </c>
      <c r="E173" s="17" t="s">
        <v>832</v>
      </c>
      <c r="F173" s="17" t="s">
        <v>830</v>
      </c>
      <c r="G173" s="19">
        <v>43207</v>
      </c>
      <c r="I173" s="17" t="s">
        <v>833</v>
      </c>
      <c r="J173" s="17" t="s">
        <v>59</v>
      </c>
      <c r="K173" s="17" t="s">
        <v>60</v>
      </c>
      <c r="L173" s="17" t="s">
        <v>48</v>
      </c>
      <c r="M173" s="17" t="s">
        <v>49</v>
      </c>
      <c r="N173" s="17" t="s">
        <v>50</v>
      </c>
      <c r="O173" s="17" t="s">
        <v>51</v>
      </c>
      <c r="P173" s="17" t="s">
        <v>52</v>
      </c>
      <c r="Q173" s="17" t="s">
        <v>53</v>
      </c>
      <c r="R173" s="17">
        <v>6</v>
      </c>
    </row>
    <row r="174" spans="1:18" x14ac:dyDescent="0.2">
      <c r="A174" s="18" t="s">
        <v>834</v>
      </c>
      <c r="B174" s="17" t="s">
        <v>835</v>
      </c>
      <c r="C174" s="18" t="s">
        <v>834</v>
      </c>
      <c r="D174" s="17" t="s">
        <v>836</v>
      </c>
      <c r="E174" s="17" t="s">
        <v>837</v>
      </c>
      <c r="F174" s="17" t="s">
        <v>835</v>
      </c>
      <c r="G174" s="19">
        <v>43252</v>
      </c>
      <c r="I174" s="17" t="s">
        <v>153</v>
      </c>
      <c r="J174" s="17" t="s">
        <v>146</v>
      </c>
      <c r="K174" s="17" t="s">
        <v>95</v>
      </c>
      <c r="L174" s="17" t="s">
        <v>48</v>
      </c>
      <c r="M174" s="17" t="s">
        <v>77</v>
      </c>
      <c r="N174" s="17" t="s">
        <v>50</v>
      </c>
      <c r="O174" s="17" t="s">
        <v>147</v>
      </c>
      <c r="P174" s="17" t="s">
        <v>68</v>
      </c>
      <c r="Q174" s="17" t="s">
        <v>154</v>
      </c>
      <c r="R174" s="17">
        <v>1</v>
      </c>
    </row>
    <row r="175" spans="1:18" x14ac:dyDescent="0.2">
      <c r="A175" s="18" t="s">
        <v>838</v>
      </c>
      <c r="B175" s="17" t="s">
        <v>839</v>
      </c>
      <c r="C175" s="18" t="s">
        <v>838</v>
      </c>
      <c r="D175" s="17" t="s">
        <v>840</v>
      </c>
      <c r="E175" s="17" t="s">
        <v>841</v>
      </c>
      <c r="F175" s="17" t="s">
        <v>839</v>
      </c>
      <c r="G175" s="19">
        <v>43252</v>
      </c>
      <c r="I175" s="17" t="s">
        <v>842</v>
      </c>
      <c r="J175" s="17" t="s">
        <v>146</v>
      </c>
      <c r="K175" s="17" t="s">
        <v>95</v>
      </c>
      <c r="L175" s="17" t="s">
        <v>48</v>
      </c>
      <c r="M175" s="17" t="s">
        <v>77</v>
      </c>
      <c r="N175" s="17" t="s">
        <v>50</v>
      </c>
      <c r="O175" s="17" t="s">
        <v>147</v>
      </c>
      <c r="P175" s="17" t="s">
        <v>68</v>
      </c>
      <c r="Q175" s="17" t="s">
        <v>134</v>
      </c>
      <c r="R175" s="17">
        <v>7</v>
      </c>
    </row>
    <row r="176" spans="1:18" x14ac:dyDescent="0.2">
      <c r="A176" s="18" t="s">
        <v>843</v>
      </c>
      <c r="B176" s="17" t="s">
        <v>844</v>
      </c>
      <c r="C176" s="18" t="s">
        <v>843</v>
      </c>
      <c r="D176" s="17" t="s">
        <v>845</v>
      </c>
      <c r="E176" s="17" t="s">
        <v>846</v>
      </c>
      <c r="F176" s="17" t="s">
        <v>844</v>
      </c>
      <c r="G176" s="19">
        <v>43262</v>
      </c>
      <c r="I176" s="17" t="s">
        <v>847</v>
      </c>
      <c r="J176" s="17" t="s">
        <v>848</v>
      </c>
      <c r="K176" s="17" t="s">
        <v>60</v>
      </c>
      <c r="L176" s="17" t="s">
        <v>48</v>
      </c>
      <c r="M176" s="17" t="s">
        <v>49</v>
      </c>
      <c r="N176" s="17" t="s">
        <v>50</v>
      </c>
      <c r="O176" s="17" t="s">
        <v>147</v>
      </c>
      <c r="P176" s="17" t="s">
        <v>52</v>
      </c>
      <c r="Q176" s="17" t="s">
        <v>53</v>
      </c>
      <c r="R176" s="17">
        <v>5</v>
      </c>
    </row>
    <row r="177" spans="1:18" x14ac:dyDescent="0.2">
      <c r="A177" s="18" t="s">
        <v>849</v>
      </c>
      <c r="B177" s="17" t="s">
        <v>850</v>
      </c>
      <c r="C177" s="18" t="s">
        <v>849</v>
      </c>
      <c r="D177" s="17" t="s">
        <v>851</v>
      </c>
      <c r="E177" s="17" t="s">
        <v>852</v>
      </c>
      <c r="F177" s="17" t="s">
        <v>850</v>
      </c>
      <c r="G177" s="19">
        <v>43278</v>
      </c>
      <c r="I177" s="17" t="s">
        <v>853</v>
      </c>
      <c r="J177" s="17" t="s">
        <v>114</v>
      </c>
      <c r="K177" s="17" t="s">
        <v>95</v>
      </c>
      <c r="L177" s="17" t="s">
        <v>115</v>
      </c>
      <c r="M177" s="17" t="s">
        <v>49</v>
      </c>
      <c r="N177" s="17" t="s">
        <v>50</v>
      </c>
      <c r="O177" s="17" t="s">
        <v>51</v>
      </c>
      <c r="P177" s="17" t="s">
        <v>68</v>
      </c>
      <c r="Q177" s="17" t="s">
        <v>148</v>
      </c>
      <c r="R177" s="17">
        <v>3</v>
      </c>
    </row>
    <row r="178" spans="1:18" x14ac:dyDescent="0.2">
      <c r="A178" s="18" t="s">
        <v>854</v>
      </c>
      <c r="B178" s="17" t="s">
        <v>855</v>
      </c>
      <c r="C178" s="18" t="s">
        <v>854</v>
      </c>
      <c r="D178" s="17" t="s">
        <v>856</v>
      </c>
      <c r="E178" s="17" t="s">
        <v>857</v>
      </c>
      <c r="F178" s="17" t="s">
        <v>855</v>
      </c>
      <c r="G178" s="19">
        <v>43297</v>
      </c>
      <c r="I178" s="17" t="s">
        <v>369</v>
      </c>
      <c r="J178" s="17" t="s">
        <v>114</v>
      </c>
      <c r="K178" s="17" t="s">
        <v>95</v>
      </c>
      <c r="L178" s="17" t="s">
        <v>115</v>
      </c>
      <c r="M178" s="17" t="s">
        <v>49</v>
      </c>
      <c r="N178" s="17" t="s">
        <v>50</v>
      </c>
      <c r="O178" s="17" t="s">
        <v>51</v>
      </c>
      <c r="P178" s="17" t="s">
        <v>68</v>
      </c>
      <c r="Q178" s="17" t="s">
        <v>148</v>
      </c>
      <c r="R178" s="17">
        <v>3</v>
      </c>
    </row>
    <row r="179" spans="1:18" x14ac:dyDescent="0.2">
      <c r="A179" s="18" t="s">
        <v>858</v>
      </c>
      <c r="B179" s="17" t="s">
        <v>859</v>
      </c>
      <c r="C179" s="18" t="s">
        <v>858</v>
      </c>
      <c r="D179" s="17" t="s">
        <v>860</v>
      </c>
      <c r="E179" s="17" t="s">
        <v>861</v>
      </c>
      <c r="F179" s="17" t="s">
        <v>859</v>
      </c>
      <c r="G179" s="19">
        <v>43297</v>
      </c>
      <c r="I179" s="17" t="s">
        <v>369</v>
      </c>
      <c r="J179" s="17" t="s">
        <v>114</v>
      </c>
      <c r="K179" s="17" t="s">
        <v>95</v>
      </c>
      <c r="L179" s="17" t="s">
        <v>115</v>
      </c>
      <c r="M179" s="17" t="s">
        <v>49</v>
      </c>
      <c r="N179" s="17" t="s">
        <v>50</v>
      </c>
      <c r="O179" s="17" t="s">
        <v>51</v>
      </c>
      <c r="P179" s="17" t="s">
        <v>68</v>
      </c>
      <c r="Q179" s="17" t="s">
        <v>148</v>
      </c>
      <c r="R179" s="17">
        <v>3</v>
      </c>
    </row>
    <row r="180" spans="1:18" x14ac:dyDescent="0.2">
      <c r="A180" s="18" t="s">
        <v>862</v>
      </c>
      <c r="B180" s="17" t="s">
        <v>863</v>
      </c>
      <c r="C180" s="18" t="s">
        <v>862</v>
      </c>
      <c r="D180" s="17" t="s">
        <v>864</v>
      </c>
      <c r="E180" s="17" t="s">
        <v>865</v>
      </c>
      <c r="F180" s="17" t="s">
        <v>863</v>
      </c>
      <c r="G180" s="19">
        <v>43297</v>
      </c>
      <c r="I180" s="17" t="s">
        <v>369</v>
      </c>
      <c r="J180" s="17" t="s">
        <v>114</v>
      </c>
      <c r="K180" s="17" t="s">
        <v>95</v>
      </c>
      <c r="L180" s="17" t="s">
        <v>115</v>
      </c>
      <c r="M180" s="17" t="s">
        <v>49</v>
      </c>
      <c r="N180" s="17" t="s">
        <v>50</v>
      </c>
      <c r="O180" s="17" t="s">
        <v>51</v>
      </c>
      <c r="P180" s="17" t="s">
        <v>68</v>
      </c>
      <c r="Q180" s="17" t="s">
        <v>148</v>
      </c>
      <c r="R180" s="17">
        <v>3</v>
      </c>
    </row>
    <row r="181" spans="1:18" x14ac:dyDescent="0.2">
      <c r="A181" s="18" t="s">
        <v>866</v>
      </c>
      <c r="B181" s="17" t="s">
        <v>867</v>
      </c>
      <c r="C181" s="18" t="s">
        <v>866</v>
      </c>
      <c r="D181" s="17" t="s">
        <v>868</v>
      </c>
      <c r="E181" s="17" t="s">
        <v>869</v>
      </c>
      <c r="F181" s="17" t="s">
        <v>867</v>
      </c>
      <c r="G181" s="19">
        <v>43322</v>
      </c>
      <c r="I181" s="17" t="s">
        <v>666</v>
      </c>
      <c r="J181" s="17" t="s">
        <v>182</v>
      </c>
      <c r="K181" s="17" t="s">
        <v>89</v>
      </c>
      <c r="L181" s="17" t="s">
        <v>48</v>
      </c>
      <c r="M181" s="17" t="s">
        <v>77</v>
      </c>
      <c r="N181" s="17" t="s">
        <v>50</v>
      </c>
      <c r="O181" s="17" t="s">
        <v>51</v>
      </c>
      <c r="P181" s="17" t="s">
        <v>68</v>
      </c>
      <c r="Q181" s="17" t="s">
        <v>134</v>
      </c>
      <c r="R181" s="17">
        <v>1</v>
      </c>
    </row>
    <row r="182" spans="1:18" x14ac:dyDescent="0.2">
      <c r="A182" s="18" t="s">
        <v>870</v>
      </c>
      <c r="B182" s="17" t="s">
        <v>871</v>
      </c>
      <c r="C182" s="18" t="s">
        <v>870</v>
      </c>
      <c r="D182" s="17" t="s">
        <v>872</v>
      </c>
      <c r="E182" s="17" t="s">
        <v>873</v>
      </c>
      <c r="F182" s="17" t="s">
        <v>871</v>
      </c>
      <c r="G182" s="19">
        <v>43322</v>
      </c>
      <c r="I182" s="17" t="s">
        <v>874</v>
      </c>
      <c r="J182" s="17" t="s">
        <v>198</v>
      </c>
      <c r="K182" s="17" t="s">
        <v>198</v>
      </c>
      <c r="L182" s="17" t="s">
        <v>115</v>
      </c>
      <c r="M182" s="17" t="s">
        <v>49</v>
      </c>
      <c r="N182" s="17" t="s">
        <v>50</v>
      </c>
      <c r="O182" s="17" t="s">
        <v>51</v>
      </c>
      <c r="P182" s="17" t="s">
        <v>68</v>
      </c>
      <c r="Q182" s="17" t="s">
        <v>108</v>
      </c>
      <c r="R182" s="17">
        <v>7</v>
      </c>
    </row>
    <row r="183" spans="1:18" x14ac:dyDescent="0.2">
      <c r="A183" s="18" t="s">
        <v>875</v>
      </c>
      <c r="B183" s="17" t="s">
        <v>876</v>
      </c>
      <c r="C183" s="18" t="s">
        <v>875</v>
      </c>
      <c r="D183" s="17" t="s">
        <v>877</v>
      </c>
      <c r="E183" s="17" t="s">
        <v>470</v>
      </c>
      <c r="F183" s="17" t="s">
        <v>876</v>
      </c>
      <c r="G183" s="19">
        <v>43346</v>
      </c>
      <c r="I183" s="17" t="s">
        <v>878</v>
      </c>
      <c r="J183" s="17" t="s">
        <v>742</v>
      </c>
      <c r="K183" s="17" t="s">
        <v>743</v>
      </c>
      <c r="L183" s="17" t="s">
        <v>48</v>
      </c>
      <c r="M183" s="17" t="s">
        <v>77</v>
      </c>
      <c r="N183" s="17" t="s">
        <v>50</v>
      </c>
      <c r="O183" s="17" t="s">
        <v>51</v>
      </c>
      <c r="P183" s="17" t="s">
        <v>52</v>
      </c>
      <c r="Q183" s="17" t="s">
        <v>650</v>
      </c>
      <c r="R183" s="17">
        <v>10</v>
      </c>
    </row>
    <row r="184" spans="1:18" x14ac:dyDescent="0.2">
      <c r="A184" s="18" t="s">
        <v>879</v>
      </c>
      <c r="B184" s="17" t="s">
        <v>880</v>
      </c>
      <c r="C184" s="18" t="s">
        <v>879</v>
      </c>
      <c r="D184" s="17" t="s">
        <v>881</v>
      </c>
      <c r="E184" s="17" t="s">
        <v>882</v>
      </c>
      <c r="F184" s="17" t="s">
        <v>880</v>
      </c>
      <c r="G184" s="19">
        <v>43353</v>
      </c>
      <c r="I184" s="17" t="s">
        <v>191</v>
      </c>
      <c r="J184" s="17" t="s">
        <v>146</v>
      </c>
      <c r="K184" s="17" t="s">
        <v>95</v>
      </c>
      <c r="L184" s="17" t="s">
        <v>48</v>
      </c>
      <c r="M184" s="17" t="s">
        <v>77</v>
      </c>
      <c r="N184" s="17" t="s">
        <v>50</v>
      </c>
      <c r="O184" s="17" t="s">
        <v>147</v>
      </c>
      <c r="P184" s="17" t="s">
        <v>68</v>
      </c>
      <c r="Q184" s="17" t="s">
        <v>148</v>
      </c>
      <c r="R184" s="17">
        <v>1</v>
      </c>
    </row>
    <row r="185" spans="1:18" x14ac:dyDescent="0.2">
      <c r="A185" s="18" t="s">
        <v>883</v>
      </c>
      <c r="B185" s="17" t="s">
        <v>884</v>
      </c>
      <c r="C185" s="18" t="s">
        <v>883</v>
      </c>
      <c r="D185" s="17" t="s">
        <v>260</v>
      </c>
      <c r="E185" s="17" t="s">
        <v>885</v>
      </c>
      <c r="F185" s="17" t="s">
        <v>884</v>
      </c>
      <c r="G185" s="19">
        <v>43374</v>
      </c>
      <c r="I185" s="17" t="s">
        <v>886</v>
      </c>
      <c r="J185" s="17" t="s">
        <v>661</v>
      </c>
      <c r="K185" s="17" t="s">
        <v>661</v>
      </c>
      <c r="L185" s="17" t="s">
        <v>48</v>
      </c>
      <c r="M185" s="17" t="s">
        <v>77</v>
      </c>
      <c r="N185" s="17" t="s">
        <v>50</v>
      </c>
      <c r="O185" s="17" t="s">
        <v>51</v>
      </c>
      <c r="P185" s="17" t="s">
        <v>68</v>
      </c>
      <c r="Q185" s="17" t="s">
        <v>69</v>
      </c>
      <c r="R185" s="17">
        <v>9</v>
      </c>
    </row>
    <row r="186" spans="1:18" x14ac:dyDescent="0.2">
      <c r="A186" s="18" t="s">
        <v>887</v>
      </c>
      <c r="B186" s="17" t="s">
        <v>888</v>
      </c>
      <c r="C186" s="18" t="s">
        <v>887</v>
      </c>
      <c r="D186" s="17" t="s">
        <v>889</v>
      </c>
      <c r="E186" s="17" t="s">
        <v>890</v>
      </c>
      <c r="F186" s="17" t="s">
        <v>888</v>
      </c>
      <c r="G186" s="19">
        <v>43374</v>
      </c>
      <c r="I186" s="17" t="s">
        <v>891</v>
      </c>
      <c r="J186" s="17" t="s">
        <v>198</v>
      </c>
      <c r="K186" s="17" t="s">
        <v>198</v>
      </c>
      <c r="L186" s="17" t="s">
        <v>48</v>
      </c>
      <c r="M186" s="17" t="s">
        <v>49</v>
      </c>
      <c r="N186" s="17" t="s">
        <v>50</v>
      </c>
      <c r="O186" s="17" t="s">
        <v>51</v>
      </c>
      <c r="P186" s="17" t="s">
        <v>52</v>
      </c>
      <c r="Q186" s="17" t="s">
        <v>579</v>
      </c>
      <c r="R186" s="17">
        <v>3</v>
      </c>
    </row>
    <row r="187" spans="1:18" x14ac:dyDescent="0.2">
      <c r="A187" s="18" t="s">
        <v>892</v>
      </c>
      <c r="B187" s="17" t="s">
        <v>893</v>
      </c>
      <c r="C187" s="18" t="s">
        <v>892</v>
      </c>
      <c r="D187" s="17" t="s">
        <v>894</v>
      </c>
      <c r="E187" s="17" t="s">
        <v>895</v>
      </c>
      <c r="F187" s="17" t="s">
        <v>893</v>
      </c>
      <c r="G187" s="19">
        <v>43381</v>
      </c>
      <c r="I187" s="17" t="s">
        <v>896</v>
      </c>
      <c r="J187" s="17" t="s">
        <v>95</v>
      </c>
      <c r="K187" s="17" t="s">
        <v>95</v>
      </c>
      <c r="L187" s="17" t="s">
        <v>48</v>
      </c>
      <c r="M187" s="17" t="s">
        <v>77</v>
      </c>
      <c r="N187" s="17" t="s">
        <v>50</v>
      </c>
      <c r="O187" s="17" t="s">
        <v>51</v>
      </c>
      <c r="P187" s="17" t="s">
        <v>52</v>
      </c>
      <c r="Q187" s="17" t="s">
        <v>78</v>
      </c>
      <c r="R187" s="17">
        <v>1</v>
      </c>
    </row>
    <row r="188" spans="1:18" x14ac:dyDescent="0.2">
      <c r="A188" s="18" t="s">
        <v>897</v>
      </c>
      <c r="B188" s="17" t="s">
        <v>898</v>
      </c>
      <c r="C188" s="18" t="s">
        <v>897</v>
      </c>
      <c r="D188" s="17" t="s">
        <v>899</v>
      </c>
      <c r="E188" s="17" t="s">
        <v>900</v>
      </c>
      <c r="F188" s="17" t="s">
        <v>898</v>
      </c>
      <c r="G188" s="19">
        <v>43388</v>
      </c>
      <c r="I188" s="17" t="s">
        <v>901</v>
      </c>
      <c r="J188" s="17" t="s">
        <v>89</v>
      </c>
      <c r="K188" s="17" t="s">
        <v>89</v>
      </c>
      <c r="L188" s="17" t="s">
        <v>48</v>
      </c>
      <c r="M188" s="17" t="s">
        <v>77</v>
      </c>
      <c r="N188" s="17" t="s">
        <v>50</v>
      </c>
      <c r="O188" s="17" t="s">
        <v>51</v>
      </c>
      <c r="P188" s="17" t="s">
        <v>52</v>
      </c>
      <c r="Q188" s="17" t="s">
        <v>61</v>
      </c>
      <c r="R188" s="17">
        <v>6</v>
      </c>
    </row>
    <row r="189" spans="1:18" x14ac:dyDescent="0.2">
      <c r="A189" s="18" t="s">
        <v>902</v>
      </c>
      <c r="B189" s="17" t="s">
        <v>903</v>
      </c>
      <c r="C189" s="18" t="s">
        <v>902</v>
      </c>
      <c r="D189" s="17" t="s">
        <v>904</v>
      </c>
      <c r="E189" s="17" t="s">
        <v>905</v>
      </c>
      <c r="F189" s="17" t="s">
        <v>903</v>
      </c>
      <c r="G189" s="19">
        <v>43406</v>
      </c>
      <c r="I189" s="17" t="s">
        <v>906</v>
      </c>
      <c r="J189" s="17" t="s">
        <v>107</v>
      </c>
      <c r="K189" s="17" t="s">
        <v>67</v>
      </c>
      <c r="L189" s="17" t="s">
        <v>48</v>
      </c>
      <c r="M189" s="17" t="s">
        <v>49</v>
      </c>
      <c r="N189" s="17" t="s">
        <v>50</v>
      </c>
      <c r="O189" s="17" t="s">
        <v>51</v>
      </c>
      <c r="P189" s="17" t="s">
        <v>68</v>
      </c>
      <c r="Q189" s="17" t="s">
        <v>108</v>
      </c>
      <c r="R189" s="17">
        <v>7</v>
      </c>
    </row>
    <row r="190" spans="1:18" x14ac:dyDescent="0.2">
      <c r="A190" s="18" t="s">
        <v>907</v>
      </c>
      <c r="B190" s="17" t="s">
        <v>908</v>
      </c>
      <c r="C190" s="18" t="s">
        <v>907</v>
      </c>
      <c r="D190" s="17" t="s">
        <v>213</v>
      </c>
      <c r="E190" s="17" t="s">
        <v>909</v>
      </c>
      <c r="F190" s="17" t="s">
        <v>908</v>
      </c>
      <c r="G190" s="19">
        <v>43420</v>
      </c>
      <c r="I190" s="17" t="s">
        <v>910</v>
      </c>
      <c r="J190" s="17" t="s">
        <v>742</v>
      </c>
      <c r="K190" s="17" t="s">
        <v>743</v>
      </c>
      <c r="L190" s="17" t="s">
        <v>48</v>
      </c>
      <c r="M190" s="17" t="s">
        <v>77</v>
      </c>
      <c r="N190" s="17" t="s">
        <v>50</v>
      </c>
      <c r="O190" s="17" t="s">
        <v>51</v>
      </c>
      <c r="P190" s="17" t="s">
        <v>52</v>
      </c>
      <c r="Q190" s="17" t="s">
        <v>78</v>
      </c>
      <c r="R190" s="17">
        <v>1</v>
      </c>
    </row>
    <row r="191" spans="1:18" x14ac:dyDescent="0.2">
      <c r="A191" s="18" t="s">
        <v>911</v>
      </c>
      <c r="B191" s="17" t="s">
        <v>912</v>
      </c>
      <c r="C191" s="18" t="s">
        <v>911</v>
      </c>
      <c r="D191" s="17" t="s">
        <v>72</v>
      </c>
      <c r="E191" s="17" t="s">
        <v>913</v>
      </c>
      <c r="F191" s="17" t="s">
        <v>912</v>
      </c>
      <c r="G191" s="19">
        <v>43467</v>
      </c>
      <c r="I191" s="17" t="s">
        <v>45</v>
      </c>
      <c r="J191" s="17" t="s">
        <v>46</v>
      </c>
      <c r="K191" s="17" t="s">
        <v>47</v>
      </c>
      <c r="L191" s="17" t="s">
        <v>48</v>
      </c>
      <c r="M191" s="17" t="s">
        <v>77</v>
      </c>
      <c r="N191" s="17" t="s">
        <v>50</v>
      </c>
      <c r="O191" s="17" t="s">
        <v>51</v>
      </c>
      <c r="P191" s="17" t="s">
        <v>52</v>
      </c>
      <c r="Q191" s="17" t="s">
        <v>53</v>
      </c>
      <c r="R191" s="17">
        <v>1</v>
      </c>
    </row>
    <row r="192" spans="1:18" x14ac:dyDescent="0.2">
      <c r="A192" s="18" t="s">
        <v>914</v>
      </c>
      <c r="B192" s="17" t="s">
        <v>915</v>
      </c>
      <c r="C192" s="18" t="s">
        <v>914</v>
      </c>
      <c r="D192" s="17" t="s">
        <v>916</v>
      </c>
      <c r="E192" s="17" t="s">
        <v>917</v>
      </c>
      <c r="F192" s="17" t="s">
        <v>915</v>
      </c>
      <c r="G192" s="19">
        <v>43483</v>
      </c>
      <c r="I192" s="17" t="s">
        <v>918</v>
      </c>
      <c r="J192" s="17" t="s">
        <v>742</v>
      </c>
      <c r="K192" s="17" t="s">
        <v>743</v>
      </c>
      <c r="L192" s="17" t="s">
        <v>115</v>
      </c>
      <c r="M192" s="17" t="s">
        <v>77</v>
      </c>
      <c r="N192" s="17" t="s">
        <v>50</v>
      </c>
      <c r="O192" s="17" t="s">
        <v>147</v>
      </c>
      <c r="P192" s="17" t="s">
        <v>68</v>
      </c>
      <c r="Q192" s="17" t="s">
        <v>69</v>
      </c>
      <c r="R192" s="17">
        <v>8</v>
      </c>
    </row>
    <row r="193" spans="1:18" x14ac:dyDescent="0.2">
      <c r="A193" s="18" t="s">
        <v>919</v>
      </c>
      <c r="B193" s="17" t="s">
        <v>920</v>
      </c>
      <c r="C193" s="18" t="s">
        <v>919</v>
      </c>
      <c r="D193" s="17" t="s">
        <v>921</v>
      </c>
      <c r="E193" s="17" t="s">
        <v>922</v>
      </c>
      <c r="F193" s="17" t="s">
        <v>920</v>
      </c>
      <c r="G193" s="19">
        <v>43483</v>
      </c>
      <c r="I193" s="17" t="s">
        <v>918</v>
      </c>
      <c r="J193" s="17" t="s">
        <v>742</v>
      </c>
      <c r="K193" s="17" t="s">
        <v>743</v>
      </c>
      <c r="L193" s="17" t="s">
        <v>115</v>
      </c>
      <c r="M193" s="17" t="s">
        <v>77</v>
      </c>
      <c r="N193" s="17" t="s">
        <v>50</v>
      </c>
      <c r="O193" s="17" t="s">
        <v>147</v>
      </c>
      <c r="P193" s="17" t="s">
        <v>68</v>
      </c>
      <c r="Q193" s="17" t="s">
        <v>69</v>
      </c>
      <c r="R193" s="17">
        <v>8</v>
      </c>
    </row>
    <row r="194" spans="1:18" x14ac:dyDescent="0.2">
      <c r="A194" s="18" t="s">
        <v>923</v>
      </c>
      <c r="B194" s="17" t="s">
        <v>924</v>
      </c>
      <c r="C194" s="18" t="s">
        <v>923</v>
      </c>
      <c r="D194" s="17" t="s">
        <v>925</v>
      </c>
      <c r="E194" s="17" t="s">
        <v>926</v>
      </c>
      <c r="F194" s="17" t="s">
        <v>924</v>
      </c>
      <c r="G194" s="19">
        <v>43497</v>
      </c>
      <c r="I194" s="17" t="s">
        <v>927</v>
      </c>
      <c r="J194" s="17" t="s">
        <v>742</v>
      </c>
      <c r="K194" s="17" t="s">
        <v>743</v>
      </c>
      <c r="L194" s="17" t="s">
        <v>48</v>
      </c>
      <c r="M194" s="17" t="s">
        <v>49</v>
      </c>
      <c r="N194" s="17" t="s">
        <v>50</v>
      </c>
      <c r="O194" s="17" t="s">
        <v>51</v>
      </c>
      <c r="P194" s="17" t="s">
        <v>52</v>
      </c>
      <c r="Q194" s="17" t="s">
        <v>78</v>
      </c>
      <c r="R194" s="17">
        <v>1</v>
      </c>
    </row>
    <row r="195" spans="1:18" x14ac:dyDescent="0.2">
      <c r="A195" s="18" t="s">
        <v>928</v>
      </c>
      <c r="B195" s="17" t="s">
        <v>929</v>
      </c>
      <c r="C195" s="18" t="s">
        <v>928</v>
      </c>
      <c r="D195" s="17" t="s">
        <v>930</v>
      </c>
      <c r="E195" s="17" t="s">
        <v>931</v>
      </c>
      <c r="F195" s="17" t="s">
        <v>929</v>
      </c>
      <c r="G195" s="19">
        <v>43514</v>
      </c>
      <c r="I195" s="17" t="s">
        <v>932</v>
      </c>
      <c r="J195" s="17" t="s">
        <v>89</v>
      </c>
      <c r="K195" s="17" t="s">
        <v>89</v>
      </c>
      <c r="L195" s="17" t="s">
        <v>48</v>
      </c>
      <c r="M195" s="17" t="s">
        <v>49</v>
      </c>
      <c r="N195" s="17" t="s">
        <v>50</v>
      </c>
      <c r="O195" s="17" t="s">
        <v>51</v>
      </c>
      <c r="P195" s="17" t="s">
        <v>52</v>
      </c>
      <c r="Q195" s="17" t="s">
        <v>650</v>
      </c>
      <c r="R195" s="17">
        <v>13</v>
      </c>
    </row>
    <row r="196" spans="1:18" x14ac:dyDescent="0.2">
      <c r="A196" s="18" t="s">
        <v>933</v>
      </c>
      <c r="B196" s="17" t="s">
        <v>934</v>
      </c>
      <c r="C196" s="18" t="s">
        <v>933</v>
      </c>
      <c r="D196" s="17" t="s">
        <v>935</v>
      </c>
      <c r="E196" s="17" t="s">
        <v>936</v>
      </c>
      <c r="F196" s="17" t="s">
        <v>934</v>
      </c>
      <c r="G196" s="19">
        <v>43521</v>
      </c>
      <c r="I196" s="17" t="s">
        <v>937</v>
      </c>
      <c r="J196" s="17" t="s">
        <v>198</v>
      </c>
      <c r="K196" s="17" t="s">
        <v>198</v>
      </c>
      <c r="L196" s="17" t="s">
        <v>48</v>
      </c>
      <c r="M196" s="17" t="s">
        <v>49</v>
      </c>
      <c r="N196" s="17" t="s">
        <v>50</v>
      </c>
      <c r="O196" s="17" t="s">
        <v>51</v>
      </c>
      <c r="P196" s="17" t="s">
        <v>52</v>
      </c>
      <c r="Q196" s="17" t="s">
        <v>650</v>
      </c>
      <c r="R196" s="17">
        <v>11</v>
      </c>
    </row>
    <row r="197" spans="1:18" x14ac:dyDescent="0.2">
      <c r="A197" s="18" t="s">
        <v>938</v>
      </c>
      <c r="B197" s="17" t="s">
        <v>939</v>
      </c>
      <c r="C197" s="18" t="s">
        <v>938</v>
      </c>
      <c r="D197" s="17" t="s">
        <v>314</v>
      </c>
      <c r="E197" s="17" t="s">
        <v>940</v>
      </c>
      <c r="F197" s="17" t="s">
        <v>939</v>
      </c>
      <c r="G197" s="19">
        <v>43528</v>
      </c>
      <c r="I197" s="17" t="s">
        <v>941</v>
      </c>
      <c r="J197" s="17" t="s">
        <v>742</v>
      </c>
      <c r="K197" s="17" t="s">
        <v>743</v>
      </c>
      <c r="L197" s="17" t="s">
        <v>48</v>
      </c>
      <c r="M197" s="17" t="s">
        <v>77</v>
      </c>
      <c r="N197" s="17" t="s">
        <v>50</v>
      </c>
      <c r="O197" s="17" t="s">
        <v>51</v>
      </c>
      <c r="P197" s="17" t="s">
        <v>52</v>
      </c>
      <c r="Q197" s="17" t="s">
        <v>53</v>
      </c>
      <c r="R197" s="17">
        <v>1</v>
      </c>
    </row>
    <row r="198" spans="1:18" x14ac:dyDescent="0.2">
      <c r="A198" s="18" t="s">
        <v>942</v>
      </c>
      <c r="B198" s="17" t="s">
        <v>943</v>
      </c>
      <c r="C198" s="18" t="s">
        <v>942</v>
      </c>
      <c r="D198" s="17" t="s">
        <v>944</v>
      </c>
      <c r="E198" s="17" t="s">
        <v>945</v>
      </c>
      <c r="F198" s="17" t="s">
        <v>943</v>
      </c>
      <c r="G198" s="19">
        <v>43544</v>
      </c>
      <c r="I198" s="17" t="s">
        <v>946</v>
      </c>
      <c r="J198" s="17" t="s">
        <v>59</v>
      </c>
      <c r="K198" s="17" t="s">
        <v>60</v>
      </c>
      <c r="L198" s="17" t="s">
        <v>48</v>
      </c>
      <c r="M198" s="17" t="s">
        <v>49</v>
      </c>
      <c r="N198" s="17" t="s">
        <v>50</v>
      </c>
      <c r="O198" s="17" t="s">
        <v>51</v>
      </c>
      <c r="P198" s="17" t="s">
        <v>52</v>
      </c>
      <c r="Q198" s="17" t="s">
        <v>53</v>
      </c>
      <c r="R198" s="17">
        <v>1</v>
      </c>
    </row>
    <row r="199" spans="1:18" x14ac:dyDescent="0.2">
      <c r="A199" s="18" t="s">
        <v>947</v>
      </c>
      <c r="B199" s="17" t="s">
        <v>948</v>
      </c>
      <c r="C199" s="18" t="s">
        <v>947</v>
      </c>
      <c r="D199" s="17" t="s">
        <v>949</v>
      </c>
      <c r="E199" s="17" t="s">
        <v>950</v>
      </c>
      <c r="F199" s="17" t="s">
        <v>948</v>
      </c>
      <c r="G199" s="19">
        <v>43544</v>
      </c>
      <c r="I199" s="17" t="s">
        <v>951</v>
      </c>
      <c r="J199" s="17" t="s">
        <v>632</v>
      </c>
      <c r="K199" s="17" t="s">
        <v>633</v>
      </c>
      <c r="L199" s="17" t="s">
        <v>48</v>
      </c>
      <c r="M199" s="17" t="s">
        <v>49</v>
      </c>
      <c r="N199" s="17" t="s">
        <v>50</v>
      </c>
      <c r="O199" s="17" t="s">
        <v>51</v>
      </c>
      <c r="P199" s="17" t="s">
        <v>68</v>
      </c>
      <c r="Q199" s="17" t="s">
        <v>108</v>
      </c>
      <c r="R199" s="17">
        <v>9</v>
      </c>
    </row>
    <row r="200" spans="1:18" x14ac:dyDescent="0.2">
      <c r="A200" s="18" t="s">
        <v>952</v>
      </c>
      <c r="B200" s="17" t="s">
        <v>953</v>
      </c>
      <c r="C200" s="18" t="s">
        <v>952</v>
      </c>
      <c r="D200" s="17" t="s">
        <v>954</v>
      </c>
      <c r="E200" s="17" t="s">
        <v>955</v>
      </c>
      <c r="F200" s="17" t="s">
        <v>953</v>
      </c>
      <c r="G200" s="19">
        <v>43544</v>
      </c>
      <c r="I200" s="17" t="s">
        <v>956</v>
      </c>
      <c r="J200" s="17" t="s">
        <v>84</v>
      </c>
      <c r="K200" s="17" t="s">
        <v>67</v>
      </c>
      <c r="L200" s="17" t="s">
        <v>48</v>
      </c>
      <c r="M200" s="17" t="s">
        <v>77</v>
      </c>
      <c r="N200" s="17" t="s">
        <v>50</v>
      </c>
      <c r="O200" s="17" t="s">
        <v>51</v>
      </c>
      <c r="P200" s="17" t="s">
        <v>68</v>
      </c>
      <c r="Q200" s="17" t="s">
        <v>134</v>
      </c>
      <c r="R200" s="17">
        <v>3</v>
      </c>
    </row>
    <row r="201" spans="1:18" x14ac:dyDescent="0.2">
      <c r="A201" s="18" t="s">
        <v>957</v>
      </c>
      <c r="B201" s="17" t="s">
        <v>958</v>
      </c>
      <c r="C201" s="18" t="s">
        <v>957</v>
      </c>
      <c r="D201" s="17" t="s">
        <v>314</v>
      </c>
      <c r="E201" s="17" t="s">
        <v>959</v>
      </c>
      <c r="F201" s="17" t="s">
        <v>958</v>
      </c>
      <c r="G201" s="19">
        <v>43544</v>
      </c>
      <c r="I201" s="17" t="s">
        <v>956</v>
      </c>
      <c r="J201" s="17" t="s">
        <v>84</v>
      </c>
      <c r="K201" s="17" t="s">
        <v>67</v>
      </c>
      <c r="L201" s="17" t="s">
        <v>48</v>
      </c>
      <c r="M201" s="17" t="s">
        <v>77</v>
      </c>
      <c r="N201" s="17" t="s">
        <v>50</v>
      </c>
      <c r="O201" s="17" t="s">
        <v>51</v>
      </c>
      <c r="P201" s="17" t="s">
        <v>68</v>
      </c>
      <c r="Q201" s="17" t="s">
        <v>134</v>
      </c>
      <c r="R201" s="17">
        <v>3</v>
      </c>
    </row>
    <row r="202" spans="1:18" x14ac:dyDescent="0.2">
      <c r="A202" s="18" t="s">
        <v>960</v>
      </c>
      <c r="B202" s="17" t="s">
        <v>961</v>
      </c>
      <c r="C202" s="18" t="s">
        <v>960</v>
      </c>
      <c r="D202" s="17" t="s">
        <v>64</v>
      </c>
      <c r="E202" s="17" t="s">
        <v>962</v>
      </c>
      <c r="F202" s="17" t="s">
        <v>961</v>
      </c>
      <c r="G202" s="19">
        <v>43613</v>
      </c>
      <c r="I202" s="17" t="s">
        <v>963</v>
      </c>
      <c r="J202" s="17" t="s">
        <v>198</v>
      </c>
      <c r="K202" s="17" t="s">
        <v>198</v>
      </c>
      <c r="L202" s="17" t="s">
        <v>48</v>
      </c>
      <c r="M202" s="17" t="s">
        <v>49</v>
      </c>
      <c r="N202" s="17" t="s">
        <v>50</v>
      </c>
      <c r="O202" s="17" t="s">
        <v>51</v>
      </c>
      <c r="P202" s="17" t="s">
        <v>52</v>
      </c>
      <c r="Q202" s="17" t="s">
        <v>579</v>
      </c>
      <c r="R202" s="17">
        <v>5</v>
      </c>
    </row>
    <row r="203" spans="1:18" x14ac:dyDescent="0.2">
      <c r="A203" s="18" t="s">
        <v>964</v>
      </c>
      <c r="B203" s="17" t="s">
        <v>965</v>
      </c>
      <c r="C203" s="18" t="s">
        <v>964</v>
      </c>
      <c r="D203" s="17" t="s">
        <v>966</v>
      </c>
      <c r="E203" s="17" t="s">
        <v>967</v>
      </c>
      <c r="F203" s="17" t="s">
        <v>965</v>
      </c>
      <c r="G203" s="19">
        <v>43613</v>
      </c>
      <c r="I203" s="17" t="s">
        <v>968</v>
      </c>
      <c r="J203" s="17" t="s">
        <v>742</v>
      </c>
      <c r="K203" s="17" t="s">
        <v>743</v>
      </c>
      <c r="L203" s="17" t="s">
        <v>48</v>
      </c>
      <c r="M203" s="17" t="s">
        <v>77</v>
      </c>
      <c r="N203" s="17" t="s">
        <v>50</v>
      </c>
      <c r="O203" s="17" t="s">
        <v>51</v>
      </c>
      <c r="P203" s="17" t="s">
        <v>52</v>
      </c>
      <c r="Q203" s="17" t="s">
        <v>53</v>
      </c>
      <c r="R203" s="17">
        <v>10</v>
      </c>
    </row>
    <row r="204" spans="1:18" x14ac:dyDescent="0.2">
      <c r="A204" s="18" t="s">
        <v>969</v>
      </c>
      <c r="B204" s="17" t="s">
        <v>970</v>
      </c>
      <c r="C204" s="18" t="s">
        <v>969</v>
      </c>
      <c r="D204" s="17" t="s">
        <v>283</v>
      </c>
      <c r="E204" s="17" t="s">
        <v>971</v>
      </c>
      <c r="F204" s="17" t="s">
        <v>970</v>
      </c>
      <c r="G204" s="19">
        <v>43647</v>
      </c>
      <c r="I204" s="17" t="s">
        <v>972</v>
      </c>
      <c r="J204" s="17" t="s">
        <v>107</v>
      </c>
      <c r="K204" s="17" t="s">
        <v>67</v>
      </c>
      <c r="L204" s="17" t="s">
        <v>48</v>
      </c>
      <c r="M204" s="17" t="s">
        <v>77</v>
      </c>
      <c r="N204" s="17" t="s">
        <v>50</v>
      </c>
      <c r="O204" s="17" t="s">
        <v>51</v>
      </c>
      <c r="P204" s="17" t="s">
        <v>68</v>
      </c>
      <c r="Q204" s="17" t="s">
        <v>140</v>
      </c>
      <c r="R204" s="17">
        <v>7</v>
      </c>
    </row>
    <row r="205" spans="1:18" x14ac:dyDescent="0.2">
      <c r="A205" s="18" t="s">
        <v>973</v>
      </c>
      <c r="B205" s="17" t="s">
        <v>974</v>
      </c>
      <c r="C205" s="18" t="s">
        <v>973</v>
      </c>
      <c r="D205" s="17" t="s">
        <v>758</v>
      </c>
      <c r="E205" s="17" t="s">
        <v>975</v>
      </c>
      <c r="F205" s="17" t="s">
        <v>974</v>
      </c>
      <c r="G205" s="19">
        <v>43647</v>
      </c>
      <c r="I205" s="17" t="s">
        <v>976</v>
      </c>
      <c r="J205" s="17" t="s">
        <v>84</v>
      </c>
      <c r="K205" s="17" t="s">
        <v>67</v>
      </c>
      <c r="L205" s="17" t="s">
        <v>48</v>
      </c>
      <c r="M205" s="17" t="s">
        <v>77</v>
      </c>
      <c r="N205" s="17" t="s">
        <v>50</v>
      </c>
      <c r="O205" s="17" t="s">
        <v>51</v>
      </c>
      <c r="P205" s="17" t="s">
        <v>68</v>
      </c>
      <c r="Q205" s="17" t="s">
        <v>128</v>
      </c>
      <c r="R205" s="17">
        <v>8</v>
      </c>
    </row>
    <row r="206" spans="1:18" x14ac:dyDescent="0.2">
      <c r="A206" s="18" t="s">
        <v>977</v>
      </c>
      <c r="B206" s="17" t="s">
        <v>978</v>
      </c>
      <c r="C206" s="18" t="s">
        <v>977</v>
      </c>
      <c r="D206" s="17" t="s">
        <v>851</v>
      </c>
      <c r="E206" s="17" t="s">
        <v>979</v>
      </c>
      <c r="F206" s="17" t="s">
        <v>978</v>
      </c>
      <c r="G206" s="19">
        <v>43710</v>
      </c>
      <c r="I206" s="17" t="s">
        <v>980</v>
      </c>
      <c r="J206" s="17" t="s">
        <v>742</v>
      </c>
      <c r="K206" s="17" t="s">
        <v>743</v>
      </c>
      <c r="L206" s="17" t="s">
        <v>48</v>
      </c>
      <c r="M206" s="17" t="s">
        <v>77</v>
      </c>
      <c r="N206" s="17" t="s">
        <v>50</v>
      </c>
      <c r="O206" s="17" t="s">
        <v>51</v>
      </c>
      <c r="P206" s="17" t="s">
        <v>52</v>
      </c>
      <c r="Q206" s="17" t="s">
        <v>579</v>
      </c>
      <c r="R206" s="17">
        <v>1</v>
      </c>
    </row>
    <row r="207" spans="1:18" x14ac:dyDescent="0.2">
      <c r="A207" s="18" t="s">
        <v>981</v>
      </c>
      <c r="B207" s="17" t="s">
        <v>982</v>
      </c>
      <c r="C207" s="18" t="s">
        <v>981</v>
      </c>
      <c r="D207" s="17" t="s">
        <v>983</v>
      </c>
      <c r="E207" s="17" t="s">
        <v>984</v>
      </c>
      <c r="F207" s="17" t="s">
        <v>982</v>
      </c>
      <c r="G207" s="19">
        <v>43724</v>
      </c>
      <c r="I207" s="17" t="s">
        <v>985</v>
      </c>
      <c r="J207" s="17" t="s">
        <v>742</v>
      </c>
      <c r="K207" s="17" t="s">
        <v>743</v>
      </c>
      <c r="L207" s="17" t="s">
        <v>48</v>
      </c>
      <c r="M207" s="17" t="s">
        <v>49</v>
      </c>
      <c r="N207" s="17" t="s">
        <v>50</v>
      </c>
      <c r="O207" s="17" t="s">
        <v>51</v>
      </c>
      <c r="P207" s="17" t="s">
        <v>52</v>
      </c>
      <c r="Q207" s="17" t="s">
        <v>53</v>
      </c>
      <c r="R207" s="17">
        <v>6</v>
      </c>
    </row>
    <row r="208" spans="1:18" x14ac:dyDescent="0.2">
      <c r="A208" s="18" t="s">
        <v>986</v>
      </c>
      <c r="B208" s="17" t="s">
        <v>987</v>
      </c>
      <c r="C208" s="18" t="s">
        <v>986</v>
      </c>
      <c r="D208" s="17" t="s">
        <v>808</v>
      </c>
      <c r="E208" s="17" t="s">
        <v>988</v>
      </c>
      <c r="F208" s="17" t="s">
        <v>987</v>
      </c>
      <c r="G208" s="19">
        <v>43822</v>
      </c>
      <c r="I208" s="17" t="s">
        <v>989</v>
      </c>
      <c r="J208" s="17" t="s">
        <v>146</v>
      </c>
      <c r="K208" s="17" t="s">
        <v>95</v>
      </c>
      <c r="L208" s="17" t="s">
        <v>48</v>
      </c>
      <c r="M208" s="17" t="s">
        <v>77</v>
      </c>
      <c r="N208" s="17" t="s">
        <v>50</v>
      </c>
      <c r="O208" s="17" t="s">
        <v>51</v>
      </c>
      <c r="P208" s="17" t="s">
        <v>52</v>
      </c>
      <c r="Q208" s="17" t="s">
        <v>53</v>
      </c>
      <c r="R208" s="17">
        <v>10</v>
      </c>
    </row>
    <row r="209" spans="1:18" x14ac:dyDescent="0.2">
      <c r="A209" s="18" t="s">
        <v>990</v>
      </c>
      <c r="B209" s="17" t="s">
        <v>991</v>
      </c>
      <c r="C209" s="18" t="s">
        <v>990</v>
      </c>
      <c r="D209" s="17" t="s">
        <v>992</v>
      </c>
      <c r="E209" s="17" t="s">
        <v>993</v>
      </c>
      <c r="F209" s="17" t="s">
        <v>991</v>
      </c>
      <c r="G209" s="19">
        <v>43843</v>
      </c>
      <c r="I209" s="17" t="s">
        <v>994</v>
      </c>
      <c r="J209" s="17" t="s">
        <v>410</v>
      </c>
      <c r="K209" s="17" t="s">
        <v>89</v>
      </c>
      <c r="L209" s="17" t="s">
        <v>48</v>
      </c>
      <c r="M209" s="17" t="s">
        <v>77</v>
      </c>
      <c r="N209" s="17" t="s">
        <v>50</v>
      </c>
      <c r="O209" s="17" t="s">
        <v>51</v>
      </c>
      <c r="P209" s="17" t="s">
        <v>68</v>
      </c>
      <c r="Q209" s="17" t="s">
        <v>140</v>
      </c>
      <c r="R209" s="17">
        <v>2</v>
      </c>
    </row>
    <row r="210" spans="1:18" x14ac:dyDescent="0.2">
      <c r="A210" s="18" t="s">
        <v>995</v>
      </c>
      <c r="B210" s="17" t="s">
        <v>996</v>
      </c>
      <c r="C210" s="18" t="s">
        <v>995</v>
      </c>
      <c r="D210" s="17" t="s">
        <v>997</v>
      </c>
      <c r="E210" s="17" t="s">
        <v>998</v>
      </c>
      <c r="F210" s="17" t="s">
        <v>996</v>
      </c>
      <c r="G210" s="19">
        <v>43864</v>
      </c>
      <c r="I210" s="17" t="s">
        <v>999</v>
      </c>
      <c r="J210" s="17" t="s">
        <v>182</v>
      </c>
      <c r="K210" s="17" t="s">
        <v>89</v>
      </c>
      <c r="L210" s="17" t="s">
        <v>48</v>
      </c>
      <c r="M210" s="17" t="s">
        <v>77</v>
      </c>
      <c r="N210" s="17" t="s">
        <v>50</v>
      </c>
      <c r="O210" s="17" t="s">
        <v>51</v>
      </c>
      <c r="P210" s="17" t="s">
        <v>52</v>
      </c>
      <c r="Q210" s="17" t="s">
        <v>61</v>
      </c>
      <c r="R210" s="17">
        <v>2</v>
      </c>
    </row>
    <row r="211" spans="1:18" x14ac:dyDescent="0.2">
      <c r="A211" s="18" t="s">
        <v>1000</v>
      </c>
      <c r="B211" s="17" t="s">
        <v>1001</v>
      </c>
      <c r="C211" s="18" t="s">
        <v>1000</v>
      </c>
      <c r="D211" s="17" t="s">
        <v>1002</v>
      </c>
      <c r="E211" s="17" t="s">
        <v>1003</v>
      </c>
      <c r="F211" s="17" t="s">
        <v>1001</v>
      </c>
      <c r="G211" s="19">
        <v>43867</v>
      </c>
      <c r="I211" s="17" t="s">
        <v>1004</v>
      </c>
      <c r="J211" s="17" t="s">
        <v>742</v>
      </c>
      <c r="K211" s="17" t="s">
        <v>743</v>
      </c>
      <c r="L211" s="17" t="s">
        <v>115</v>
      </c>
      <c r="M211" s="17" t="s">
        <v>77</v>
      </c>
      <c r="N211" s="17" t="s">
        <v>50</v>
      </c>
      <c r="O211" s="17" t="s">
        <v>51</v>
      </c>
      <c r="P211" s="17" t="s">
        <v>52</v>
      </c>
      <c r="Q211" s="17" t="s">
        <v>53</v>
      </c>
      <c r="R211" s="17">
        <v>1</v>
      </c>
    </row>
    <row r="212" spans="1:18" x14ac:dyDescent="0.2">
      <c r="A212" s="18" t="s">
        <v>1005</v>
      </c>
      <c r="B212" s="17" t="s">
        <v>1006</v>
      </c>
      <c r="C212" s="18" t="s">
        <v>1005</v>
      </c>
      <c r="D212" s="17" t="s">
        <v>1007</v>
      </c>
      <c r="E212" s="17" t="s">
        <v>1008</v>
      </c>
      <c r="F212" s="17" t="s">
        <v>1006</v>
      </c>
      <c r="G212" s="19">
        <v>43867</v>
      </c>
      <c r="I212" s="17" t="s">
        <v>918</v>
      </c>
      <c r="J212" s="17" t="s">
        <v>742</v>
      </c>
      <c r="K212" s="17" t="s">
        <v>743</v>
      </c>
      <c r="L212" s="17" t="s">
        <v>115</v>
      </c>
      <c r="M212" s="17" t="s">
        <v>77</v>
      </c>
      <c r="N212" s="17" t="s">
        <v>50</v>
      </c>
      <c r="O212" s="17" t="s">
        <v>51</v>
      </c>
      <c r="P212" s="17" t="s">
        <v>68</v>
      </c>
      <c r="Q212" s="17" t="s">
        <v>69</v>
      </c>
      <c r="R212" s="17">
        <v>1</v>
      </c>
    </row>
    <row r="213" spans="1:18" x14ac:dyDescent="0.2">
      <c r="A213" s="18" t="s">
        <v>1009</v>
      </c>
      <c r="B213" s="17" t="s">
        <v>1010</v>
      </c>
      <c r="C213" s="18" t="s">
        <v>1009</v>
      </c>
      <c r="D213" s="17" t="s">
        <v>1011</v>
      </c>
      <c r="E213" s="17" t="s">
        <v>1012</v>
      </c>
      <c r="F213" s="17" t="s">
        <v>1010</v>
      </c>
      <c r="G213" s="19">
        <v>43885</v>
      </c>
      <c r="I213" s="17" t="s">
        <v>1013</v>
      </c>
      <c r="J213" s="17" t="s">
        <v>410</v>
      </c>
      <c r="K213" s="17" t="s">
        <v>89</v>
      </c>
      <c r="L213" s="17" t="s">
        <v>48</v>
      </c>
      <c r="M213" s="17" t="s">
        <v>77</v>
      </c>
      <c r="N213" s="17" t="s">
        <v>50</v>
      </c>
      <c r="O213" s="17" t="s">
        <v>51</v>
      </c>
      <c r="P213" s="17" t="s">
        <v>52</v>
      </c>
      <c r="Q213" s="17" t="s">
        <v>61</v>
      </c>
      <c r="R213" s="17">
        <v>5</v>
      </c>
    </row>
    <row r="214" spans="1:18" x14ac:dyDescent="0.2">
      <c r="A214" s="18" t="s">
        <v>1014</v>
      </c>
      <c r="B214" s="17" t="s">
        <v>1015</v>
      </c>
      <c r="C214" s="18" t="s">
        <v>1014</v>
      </c>
      <c r="D214" s="17" t="s">
        <v>1016</v>
      </c>
      <c r="E214" s="17" t="s">
        <v>1017</v>
      </c>
      <c r="F214" s="17" t="s">
        <v>1015</v>
      </c>
      <c r="G214" s="19">
        <v>43885</v>
      </c>
      <c r="I214" s="17" t="s">
        <v>1018</v>
      </c>
      <c r="J214" s="17" t="s">
        <v>521</v>
      </c>
      <c r="K214" s="17" t="s">
        <v>95</v>
      </c>
      <c r="L214" s="17" t="s">
        <v>48</v>
      </c>
      <c r="M214" s="17" t="s">
        <v>77</v>
      </c>
      <c r="N214" s="17" t="s">
        <v>50</v>
      </c>
      <c r="O214" s="17" t="s">
        <v>51</v>
      </c>
      <c r="P214" s="17" t="s">
        <v>52</v>
      </c>
      <c r="Q214" s="17" t="s">
        <v>61</v>
      </c>
      <c r="R214" s="17">
        <v>3</v>
      </c>
    </row>
    <row r="215" spans="1:18" x14ac:dyDescent="0.2">
      <c r="A215" s="18" t="s">
        <v>1019</v>
      </c>
      <c r="B215" s="17" t="s">
        <v>1020</v>
      </c>
      <c r="C215" s="18" t="s">
        <v>1019</v>
      </c>
      <c r="D215" s="17" t="s">
        <v>1021</v>
      </c>
      <c r="E215" s="17" t="s">
        <v>1022</v>
      </c>
      <c r="F215" s="17" t="s">
        <v>1020</v>
      </c>
      <c r="G215" s="19">
        <v>43892</v>
      </c>
      <c r="I215" s="17" t="s">
        <v>369</v>
      </c>
      <c r="J215" s="17" t="s">
        <v>114</v>
      </c>
      <c r="K215" s="17" t="s">
        <v>95</v>
      </c>
      <c r="L215" s="17" t="s">
        <v>115</v>
      </c>
      <c r="M215" s="17" t="s">
        <v>49</v>
      </c>
      <c r="N215" s="17" t="s">
        <v>50</v>
      </c>
      <c r="O215" s="17" t="s">
        <v>51</v>
      </c>
      <c r="P215" s="17" t="s">
        <v>68</v>
      </c>
      <c r="Q215" s="17" t="s">
        <v>148</v>
      </c>
      <c r="R215" s="17">
        <v>2</v>
      </c>
    </row>
    <row r="216" spans="1:18" x14ac:dyDescent="0.2">
      <c r="A216" s="18" t="s">
        <v>1023</v>
      </c>
      <c r="B216" s="17" t="s">
        <v>1024</v>
      </c>
      <c r="C216" s="18" t="s">
        <v>1023</v>
      </c>
      <c r="D216" s="17" t="s">
        <v>1025</v>
      </c>
      <c r="E216" s="17" t="s">
        <v>1026</v>
      </c>
      <c r="F216" s="17" t="s">
        <v>1024</v>
      </c>
      <c r="G216" s="19">
        <v>43892</v>
      </c>
      <c r="I216" s="17" t="s">
        <v>369</v>
      </c>
      <c r="J216" s="17" t="s">
        <v>114</v>
      </c>
      <c r="K216" s="17" t="s">
        <v>95</v>
      </c>
      <c r="L216" s="17" t="s">
        <v>115</v>
      </c>
      <c r="M216" s="17" t="s">
        <v>49</v>
      </c>
      <c r="N216" s="17" t="s">
        <v>50</v>
      </c>
      <c r="O216" s="17" t="s">
        <v>51</v>
      </c>
      <c r="P216" s="17" t="s">
        <v>68</v>
      </c>
      <c r="Q216" s="17" t="s">
        <v>148</v>
      </c>
      <c r="R216" s="17">
        <v>2</v>
      </c>
    </row>
    <row r="217" spans="1:18" x14ac:dyDescent="0.2">
      <c r="A217" s="18" t="s">
        <v>1027</v>
      </c>
      <c r="B217" s="17" t="s">
        <v>1028</v>
      </c>
      <c r="C217" s="18" t="s">
        <v>1027</v>
      </c>
      <c r="D217" s="17" t="s">
        <v>1029</v>
      </c>
      <c r="E217" s="17" t="s">
        <v>1030</v>
      </c>
      <c r="F217" s="17" t="s">
        <v>1028</v>
      </c>
      <c r="G217" s="19">
        <v>43892</v>
      </c>
      <c r="I217" s="17" t="s">
        <v>369</v>
      </c>
      <c r="J217" s="17" t="s">
        <v>114</v>
      </c>
      <c r="K217" s="17" t="s">
        <v>95</v>
      </c>
      <c r="L217" s="17" t="s">
        <v>115</v>
      </c>
      <c r="M217" s="17" t="s">
        <v>49</v>
      </c>
      <c r="N217" s="17" t="s">
        <v>50</v>
      </c>
      <c r="O217" s="17" t="s">
        <v>51</v>
      </c>
      <c r="P217" s="17" t="s">
        <v>68</v>
      </c>
      <c r="Q217" s="17" t="s">
        <v>148</v>
      </c>
      <c r="R217" s="17">
        <v>2</v>
      </c>
    </row>
    <row r="218" spans="1:18" x14ac:dyDescent="0.2">
      <c r="A218" s="18" t="s">
        <v>1031</v>
      </c>
      <c r="B218" s="17" t="s">
        <v>1032</v>
      </c>
      <c r="C218" s="18" t="s">
        <v>1031</v>
      </c>
      <c r="D218" s="17" t="s">
        <v>1033</v>
      </c>
      <c r="E218" s="17" t="s">
        <v>1034</v>
      </c>
      <c r="F218" s="17" t="s">
        <v>1032</v>
      </c>
      <c r="G218" s="19">
        <v>43892</v>
      </c>
      <c r="I218" s="17" t="s">
        <v>369</v>
      </c>
      <c r="J218" s="17" t="s">
        <v>114</v>
      </c>
      <c r="K218" s="17" t="s">
        <v>95</v>
      </c>
      <c r="L218" s="17" t="s">
        <v>115</v>
      </c>
      <c r="M218" s="17" t="s">
        <v>49</v>
      </c>
      <c r="N218" s="17" t="s">
        <v>50</v>
      </c>
      <c r="O218" s="17" t="s">
        <v>51</v>
      </c>
      <c r="P218" s="17" t="s">
        <v>68</v>
      </c>
      <c r="Q218" s="17" t="s">
        <v>148</v>
      </c>
      <c r="R218" s="17">
        <v>2</v>
      </c>
    </row>
    <row r="219" spans="1:18" x14ac:dyDescent="0.2">
      <c r="A219" s="18" t="s">
        <v>1035</v>
      </c>
      <c r="B219" s="17" t="s">
        <v>1036</v>
      </c>
      <c r="C219" s="18" t="s">
        <v>1035</v>
      </c>
      <c r="D219" s="17" t="s">
        <v>1037</v>
      </c>
      <c r="E219" s="17" t="s">
        <v>1038</v>
      </c>
      <c r="F219" s="17" t="s">
        <v>1036</v>
      </c>
      <c r="G219" s="19">
        <v>43892</v>
      </c>
      <c r="I219" s="17" t="s">
        <v>369</v>
      </c>
      <c r="J219" s="17" t="s">
        <v>114</v>
      </c>
      <c r="K219" s="17" t="s">
        <v>95</v>
      </c>
      <c r="L219" s="17" t="s">
        <v>115</v>
      </c>
      <c r="M219" s="17" t="s">
        <v>49</v>
      </c>
      <c r="N219" s="17" t="s">
        <v>50</v>
      </c>
      <c r="O219" s="17" t="s">
        <v>51</v>
      </c>
      <c r="P219" s="17" t="s">
        <v>68</v>
      </c>
      <c r="Q219" s="17" t="s">
        <v>148</v>
      </c>
      <c r="R219" s="17">
        <v>2</v>
      </c>
    </row>
    <row r="220" spans="1:18" x14ac:dyDescent="0.2">
      <c r="A220" s="18" t="s">
        <v>1039</v>
      </c>
      <c r="B220" s="17" t="s">
        <v>1040</v>
      </c>
      <c r="C220" s="18" t="s">
        <v>1039</v>
      </c>
      <c r="D220" s="17" t="s">
        <v>1041</v>
      </c>
      <c r="E220" s="17" t="s">
        <v>1042</v>
      </c>
      <c r="F220" s="17" t="s">
        <v>1040</v>
      </c>
      <c r="G220" s="19">
        <v>43892</v>
      </c>
      <c r="I220" s="17" t="s">
        <v>369</v>
      </c>
      <c r="J220" s="17" t="s">
        <v>114</v>
      </c>
      <c r="K220" s="17" t="s">
        <v>95</v>
      </c>
      <c r="L220" s="17" t="s">
        <v>115</v>
      </c>
      <c r="M220" s="17" t="s">
        <v>49</v>
      </c>
      <c r="N220" s="17" t="s">
        <v>50</v>
      </c>
      <c r="O220" s="17" t="s">
        <v>51</v>
      </c>
      <c r="P220" s="17" t="s">
        <v>68</v>
      </c>
      <c r="Q220" s="17" t="s">
        <v>148</v>
      </c>
      <c r="R220" s="17">
        <v>2</v>
      </c>
    </row>
    <row r="221" spans="1:18" x14ac:dyDescent="0.2">
      <c r="A221" s="18" t="s">
        <v>1043</v>
      </c>
      <c r="B221" s="17" t="s">
        <v>1044</v>
      </c>
      <c r="C221" s="18" t="s">
        <v>1043</v>
      </c>
      <c r="D221" s="17" t="s">
        <v>1045</v>
      </c>
      <c r="E221" s="17" t="s">
        <v>1046</v>
      </c>
      <c r="F221" s="17" t="s">
        <v>1044</v>
      </c>
      <c r="G221" s="19">
        <v>43892</v>
      </c>
      <c r="I221" s="17" t="s">
        <v>369</v>
      </c>
      <c r="J221" s="17" t="s">
        <v>114</v>
      </c>
      <c r="K221" s="17" t="s">
        <v>95</v>
      </c>
      <c r="L221" s="17" t="s">
        <v>115</v>
      </c>
      <c r="M221" s="17" t="s">
        <v>49</v>
      </c>
      <c r="N221" s="17" t="s">
        <v>50</v>
      </c>
      <c r="O221" s="17" t="s">
        <v>51</v>
      </c>
      <c r="P221" s="17" t="s">
        <v>68</v>
      </c>
      <c r="Q221" s="17" t="s">
        <v>148</v>
      </c>
      <c r="R221" s="17">
        <v>2</v>
      </c>
    </row>
    <row r="222" spans="1:18" x14ac:dyDescent="0.2">
      <c r="A222" s="18" t="s">
        <v>1047</v>
      </c>
      <c r="B222" s="17" t="s">
        <v>1048</v>
      </c>
      <c r="C222" s="18" t="s">
        <v>1047</v>
      </c>
      <c r="D222" s="17" t="s">
        <v>1049</v>
      </c>
      <c r="E222" s="17" t="s">
        <v>1050</v>
      </c>
      <c r="F222" s="17" t="s">
        <v>1048</v>
      </c>
      <c r="G222" s="19">
        <v>43899</v>
      </c>
      <c r="I222" s="17" t="s">
        <v>1051</v>
      </c>
      <c r="J222" s="17" t="s">
        <v>101</v>
      </c>
      <c r="K222" s="17" t="s">
        <v>95</v>
      </c>
      <c r="L222" s="17" t="s">
        <v>48</v>
      </c>
      <c r="M222" s="17" t="s">
        <v>77</v>
      </c>
      <c r="N222" s="17" t="s">
        <v>50</v>
      </c>
      <c r="O222" s="17" t="s">
        <v>51</v>
      </c>
      <c r="P222" s="17" t="s">
        <v>68</v>
      </c>
      <c r="Q222" s="17" t="s">
        <v>140</v>
      </c>
      <c r="R222" s="17">
        <v>1</v>
      </c>
    </row>
    <row r="223" spans="1:18" x14ac:dyDescent="0.2">
      <c r="A223" s="18" t="s">
        <v>1052</v>
      </c>
      <c r="B223" s="17" t="s">
        <v>1053</v>
      </c>
      <c r="C223" s="18" t="s">
        <v>1052</v>
      </c>
      <c r="D223" s="17" t="s">
        <v>1054</v>
      </c>
      <c r="E223" s="17" t="s">
        <v>1055</v>
      </c>
      <c r="F223" s="17" t="s">
        <v>1053</v>
      </c>
      <c r="G223" s="19">
        <v>44001</v>
      </c>
      <c r="I223" s="17" t="s">
        <v>1056</v>
      </c>
      <c r="J223" s="17" t="s">
        <v>107</v>
      </c>
      <c r="K223" s="17" t="s">
        <v>67</v>
      </c>
      <c r="L223" s="17" t="s">
        <v>48</v>
      </c>
      <c r="M223" s="17" t="s">
        <v>49</v>
      </c>
      <c r="N223" s="17" t="s">
        <v>50</v>
      </c>
      <c r="O223" s="17" t="s">
        <v>51</v>
      </c>
      <c r="P223" s="17" t="s">
        <v>68</v>
      </c>
      <c r="Q223" s="17" t="s">
        <v>69</v>
      </c>
      <c r="R223" s="17">
        <v>2</v>
      </c>
    </row>
    <row r="224" spans="1:18" x14ac:dyDescent="0.2">
      <c r="A224" s="18" t="s">
        <v>1057</v>
      </c>
      <c r="B224" s="17" t="s">
        <v>1058</v>
      </c>
      <c r="C224" s="18" t="s">
        <v>1057</v>
      </c>
      <c r="D224" s="17" t="s">
        <v>1059</v>
      </c>
      <c r="E224" s="17" t="s">
        <v>1060</v>
      </c>
      <c r="F224" s="17" t="s">
        <v>1058</v>
      </c>
      <c r="G224" s="19">
        <v>44081</v>
      </c>
      <c r="I224" s="17" t="s">
        <v>167</v>
      </c>
      <c r="J224" s="17" t="s">
        <v>114</v>
      </c>
      <c r="K224" s="17" t="s">
        <v>95</v>
      </c>
      <c r="L224" s="17" t="s">
        <v>115</v>
      </c>
      <c r="M224" s="17" t="s">
        <v>77</v>
      </c>
      <c r="N224" s="17" t="s">
        <v>50</v>
      </c>
      <c r="O224" s="17" t="s">
        <v>51</v>
      </c>
      <c r="P224" s="17" t="s">
        <v>68</v>
      </c>
      <c r="Q224" s="17" t="s">
        <v>69</v>
      </c>
      <c r="R224" s="17">
        <v>3</v>
      </c>
    </row>
    <row r="225" spans="1:18" x14ac:dyDescent="0.2">
      <c r="A225" s="18" t="s">
        <v>1061</v>
      </c>
      <c r="B225" s="17" t="s">
        <v>1062</v>
      </c>
      <c r="C225" s="18" t="s">
        <v>1061</v>
      </c>
      <c r="D225" s="17" t="s">
        <v>935</v>
      </c>
      <c r="E225" s="17" t="s">
        <v>1063</v>
      </c>
      <c r="F225" s="17" t="s">
        <v>1062</v>
      </c>
      <c r="G225" s="19">
        <v>44109</v>
      </c>
      <c r="I225" s="17" t="s">
        <v>1064</v>
      </c>
      <c r="J225" s="17" t="s">
        <v>1065</v>
      </c>
      <c r="K225" s="17" t="s">
        <v>67</v>
      </c>
      <c r="L225" s="17" t="s">
        <v>48</v>
      </c>
      <c r="M225" s="17" t="s">
        <v>77</v>
      </c>
      <c r="N225" s="17" t="s">
        <v>50</v>
      </c>
      <c r="O225" s="17" t="s">
        <v>51</v>
      </c>
      <c r="P225" s="17" t="s">
        <v>52</v>
      </c>
      <c r="Q225" s="17" t="s">
        <v>78</v>
      </c>
      <c r="R225" s="17">
        <v>4</v>
      </c>
    </row>
    <row r="226" spans="1:18" x14ac:dyDescent="0.2">
      <c r="A226" s="18" t="s">
        <v>1066</v>
      </c>
      <c r="B226" s="17" t="s">
        <v>1067</v>
      </c>
      <c r="C226" s="18" t="s">
        <v>1066</v>
      </c>
      <c r="D226" s="17" t="s">
        <v>1068</v>
      </c>
      <c r="E226" s="17" t="s">
        <v>1069</v>
      </c>
      <c r="F226" s="17" t="s">
        <v>1067</v>
      </c>
      <c r="G226" s="19">
        <v>44105</v>
      </c>
      <c r="I226" s="17" t="s">
        <v>1070</v>
      </c>
      <c r="J226" s="17" t="s">
        <v>95</v>
      </c>
      <c r="K226" s="17" t="s">
        <v>95</v>
      </c>
      <c r="L226" s="17" t="s">
        <v>48</v>
      </c>
      <c r="M226" s="17" t="s">
        <v>49</v>
      </c>
      <c r="N226" s="17" t="s">
        <v>50</v>
      </c>
      <c r="O226" s="17" t="s">
        <v>51</v>
      </c>
      <c r="P226" s="17" t="s">
        <v>1071</v>
      </c>
      <c r="Q226" s="17" t="s">
        <v>650</v>
      </c>
      <c r="R226" s="17" t="s">
        <v>0</v>
      </c>
    </row>
    <row r="227" spans="1:18" x14ac:dyDescent="0.2">
      <c r="A227" s="18" t="s">
        <v>1072</v>
      </c>
      <c r="B227" s="17" t="s">
        <v>1073</v>
      </c>
      <c r="C227" s="18" t="s">
        <v>1072</v>
      </c>
      <c r="D227" s="17" t="s">
        <v>1074</v>
      </c>
      <c r="E227" s="17" t="s">
        <v>1075</v>
      </c>
      <c r="F227" s="17" t="s">
        <v>1073</v>
      </c>
      <c r="G227" s="19">
        <v>44281</v>
      </c>
      <c r="I227" s="17" t="s">
        <v>1076</v>
      </c>
      <c r="J227" s="17" t="s">
        <v>742</v>
      </c>
      <c r="K227" s="17" t="s">
        <v>743</v>
      </c>
      <c r="L227" s="17" t="s">
        <v>48</v>
      </c>
      <c r="M227" s="17" t="s">
        <v>77</v>
      </c>
      <c r="N227" s="17" t="s">
        <v>50</v>
      </c>
      <c r="O227" s="17" t="s">
        <v>51</v>
      </c>
      <c r="P227" s="17" t="s">
        <v>52</v>
      </c>
      <c r="Q227" s="17" t="s">
        <v>579</v>
      </c>
      <c r="R227" s="17">
        <v>3</v>
      </c>
    </row>
    <row r="228" spans="1:18" x14ac:dyDescent="0.2">
      <c r="A228" s="18" t="s">
        <v>1077</v>
      </c>
      <c r="B228" s="17" t="s">
        <v>1078</v>
      </c>
      <c r="C228" s="18" t="s">
        <v>1077</v>
      </c>
      <c r="D228" s="17" t="s">
        <v>1079</v>
      </c>
      <c r="E228" s="17" t="s">
        <v>1080</v>
      </c>
      <c r="F228" s="17" t="s">
        <v>1078</v>
      </c>
      <c r="G228" s="19">
        <v>44281</v>
      </c>
      <c r="I228" s="17" t="s">
        <v>1081</v>
      </c>
      <c r="J228" s="17" t="s">
        <v>75</v>
      </c>
      <c r="K228" s="17" t="s">
        <v>76</v>
      </c>
      <c r="L228" s="17" t="s">
        <v>48</v>
      </c>
      <c r="M228" s="17" t="s">
        <v>77</v>
      </c>
      <c r="N228" s="17" t="s">
        <v>50</v>
      </c>
      <c r="O228" s="17" t="s">
        <v>51</v>
      </c>
      <c r="P228" s="17" t="s">
        <v>68</v>
      </c>
      <c r="Q228" s="17" t="s">
        <v>108</v>
      </c>
      <c r="R228" s="17">
        <v>5</v>
      </c>
    </row>
    <row r="229" spans="1:18" x14ac:dyDescent="0.2">
      <c r="A229" s="18" t="s">
        <v>1082</v>
      </c>
      <c r="B229" s="17" t="s">
        <v>1083</v>
      </c>
      <c r="C229" s="18" t="s">
        <v>1082</v>
      </c>
      <c r="D229" s="17" t="s">
        <v>1084</v>
      </c>
      <c r="E229" s="17" t="s">
        <v>1085</v>
      </c>
      <c r="F229" s="17" t="s">
        <v>1083</v>
      </c>
      <c r="G229" s="19">
        <v>44378</v>
      </c>
      <c r="I229" s="17" t="s">
        <v>1086</v>
      </c>
      <c r="J229" s="17" t="s">
        <v>805</v>
      </c>
      <c r="K229" s="17" t="s">
        <v>89</v>
      </c>
      <c r="L229" s="17" t="s">
        <v>115</v>
      </c>
      <c r="M229" s="17" t="s">
        <v>77</v>
      </c>
      <c r="N229" s="17" t="s">
        <v>50</v>
      </c>
      <c r="O229" s="17" t="s">
        <v>147</v>
      </c>
      <c r="P229" s="17" t="s">
        <v>68</v>
      </c>
      <c r="Q229" s="17" t="s">
        <v>69</v>
      </c>
      <c r="R229" s="17">
        <v>7</v>
      </c>
    </row>
    <row r="230" spans="1:18" x14ac:dyDescent="0.2">
      <c r="A230" s="18" t="s">
        <v>1087</v>
      </c>
      <c r="B230" s="17" t="s">
        <v>1088</v>
      </c>
      <c r="C230" s="18" t="s">
        <v>1087</v>
      </c>
      <c r="D230" s="17" t="s">
        <v>1089</v>
      </c>
      <c r="E230" s="17" t="s">
        <v>1090</v>
      </c>
      <c r="F230" s="17" t="s">
        <v>1088</v>
      </c>
      <c r="G230" s="19">
        <v>44409</v>
      </c>
      <c r="I230" s="17" t="s">
        <v>1091</v>
      </c>
      <c r="J230" s="17" t="s">
        <v>67</v>
      </c>
      <c r="K230" s="17" t="s">
        <v>67</v>
      </c>
      <c r="L230" s="17" t="s">
        <v>48</v>
      </c>
      <c r="M230" s="17" t="s">
        <v>77</v>
      </c>
      <c r="N230" s="17" t="s">
        <v>50</v>
      </c>
      <c r="O230" s="17" t="s">
        <v>51</v>
      </c>
      <c r="P230" s="17" t="s">
        <v>1071</v>
      </c>
      <c r="Q230" s="17" t="s">
        <v>650</v>
      </c>
      <c r="R230" s="17">
        <v>18</v>
      </c>
    </row>
    <row r="231" spans="1:18" x14ac:dyDescent="0.2">
      <c r="A231" s="18" t="s">
        <v>1092</v>
      </c>
      <c r="B231" s="17" t="s">
        <v>1093</v>
      </c>
      <c r="C231" s="18" t="s">
        <v>1092</v>
      </c>
      <c r="D231" s="17" t="s">
        <v>343</v>
      </c>
      <c r="E231" s="17" t="s">
        <v>1094</v>
      </c>
      <c r="F231" s="17" t="s">
        <v>1093</v>
      </c>
      <c r="G231" s="19">
        <v>44418</v>
      </c>
      <c r="I231" s="17" t="s">
        <v>1095</v>
      </c>
      <c r="J231" s="17" t="s">
        <v>146</v>
      </c>
      <c r="K231" s="17" t="s">
        <v>95</v>
      </c>
      <c r="L231" s="17" t="s">
        <v>115</v>
      </c>
      <c r="M231" s="17" t="s">
        <v>77</v>
      </c>
      <c r="N231" s="17" t="s">
        <v>50</v>
      </c>
      <c r="O231" s="17" t="s">
        <v>147</v>
      </c>
      <c r="P231" s="17" t="s">
        <v>68</v>
      </c>
      <c r="Q231" s="17" t="s">
        <v>134</v>
      </c>
      <c r="R231" s="17">
        <v>1</v>
      </c>
    </row>
    <row r="232" spans="1:18" x14ac:dyDescent="0.2">
      <c r="A232" s="18" t="s">
        <v>1096</v>
      </c>
      <c r="B232" s="17" t="s">
        <v>1097</v>
      </c>
      <c r="C232" s="18" t="s">
        <v>1096</v>
      </c>
      <c r="D232" s="17" t="s">
        <v>1098</v>
      </c>
      <c r="E232" s="17" t="s">
        <v>1099</v>
      </c>
      <c r="F232" s="17" t="s">
        <v>1097</v>
      </c>
      <c r="G232" s="19">
        <v>44440</v>
      </c>
      <c r="I232" s="17" t="s">
        <v>1100</v>
      </c>
      <c r="J232" s="17" t="s">
        <v>661</v>
      </c>
      <c r="K232" s="17" t="s">
        <v>661</v>
      </c>
      <c r="L232" s="17" t="s">
        <v>48</v>
      </c>
      <c r="M232" s="17" t="s">
        <v>77</v>
      </c>
      <c r="N232" s="17" t="s">
        <v>50</v>
      </c>
      <c r="O232" s="17" t="s">
        <v>51</v>
      </c>
      <c r="P232" s="17" t="s">
        <v>1071</v>
      </c>
      <c r="Q232" s="17" t="s">
        <v>1101</v>
      </c>
      <c r="R232" s="17" t="s">
        <v>0</v>
      </c>
    </row>
    <row r="233" spans="1:18" x14ac:dyDescent="0.2">
      <c r="A233" s="18" t="s">
        <v>1102</v>
      </c>
      <c r="B233" s="17" t="s">
        <v>1103</v>
      </c>
      <c r="C233" s="18" t="s">
        <v>1102</v>
      </c>
      <c r="D233" s="17" t="s">
        <v>1104</v>
      </c>
      <c r="E233" s="17" t="s">
        <v>1105</v>
      </c>
      <c r="F233" s="17" t="s">
        <v>1103</v>
      </c>
      <c r="G233" s="19">
        <v>44456</v>
      </c>
      <c r="I233" s="17" t="s">
        <v>66</v>
      </c>
      <c r="J233" s="17" t="s">
        <v>743</v>
      </c>
      <c r="K233" s="17" t="s">
        <v>743</v>
      </c>
      <c r="L233" s="17" t="s">
        <v>48</v>
      </c>
      <c r="M233" s="17" t="s">
        <v>49</v>
      </c>
      <c r="N233" s="17" t="s">
        <v>50</v>
      </c>
      <c r="O233" s="17" t="s">
        <v>51</v>
      </c>
      <c r="P233" s="17" t="s">
        <v>68</v>
      </c>
      <c r="Q233" s="17" t="s">
        <v>69</v>
      </c>
      <c r="R233" s="17">
        <v>1</v>
      </c>
    </row>
    <row r="234" spans="1:18" x14ac:dyDescent="0.2">
      <c r="A234" s="18" t="s">
        <v>1106</v>
      </c>
      <c r="B234" s="17" t="s">
        <v>1107</v>
      </c>
      <c r="C234" s="18" t="s">
        <v>1106</v>
      </c>
      <c r="D234" s="17" t="s">
        <v>1108</v>
      </c>
      <c r="E234" s="17" t="s">
        <v>1109</v>
      </c>
      <c r="F234" s="17" t="s">
        <v>1107</v>
      </c>
      <c r="G234" s="19">
        <v>44456</v>
      </c>
      <c r="I234" s="17" t="s">
        <v>1110</v>
      </c>
      <c r="J234" s="17" t="s">
        <v>742</v>
      </c>
      <c r="K234" s="17" t="s">
        <v>743</v>
      </c>
      <c r="L234" s="17" t="s">
        <v>115</v>
      </c>
      <c r="M234" s="17" t="s">
        <v>77</v>
      </c>
      <c r="N234" s="17" t="s">
        <v>50</v>
      </c>
      <c r="O234" s="17" t="s">
        <v>51</v>
      </c>
      <c r="P234" s="17" t="s">
        <v>68</v>
      </c>
      <c r="Q234" s="17" t="s">
        <v>69</v>
      </c>
      <c r="R234" s="17">
        <v>1</v>
      </c>
    </row>
    <row r="235" spans="1:18" x14ac:dyDescent="0.2">
      <c r="A235" s="18" t="s">
        <v>1111</v>
      </c>
      <c r="B235" s="17" t="s">
        <v>1112</v>
      </c>
      <c r="C235" s="18" t="s">
        <v>1111</v>
      </c>
      <c r="D235" s="17" t="s">
        <v>1113</v>
      </c>
      <c r="E235" s="17" t="s">
        <v>1114</v>
      </c>
      <c r="F235" s="17" t="s">
        <v>1112</v>
      </c>
      <c r="G235" s="19">
        <v>44477</v>
      </c>
      <c r="I235" s="17" t="s">
        <v>1115</v>
      </c>
      <c r="J235" s="17" t="s">
        <v>521</v>
      </c>
      <c r="K235" s="17" t="s">
        <v>95</v>
      </c>
      <c r="L235" s="17" t="s">
        <v>48</v>
      </c>
      <c r="M235" s="17" t="s">
        <v>77</v>
      </c>
      <c r="N235" s="17" t="s">
        <v>50</v>
      </c>
      <c r="O235" s="17" t="s">
        <v>51</v>
      </c>
      <c r="P235" s="17" t="s">
        <v>52</v>
      </c>
      <c r="Q235" s="17" t="s">
        <v>579</v>
      </c>
      <c r="R235" s="17">
        <v>2</v>
      </c>
    </row>
    <row r="236" spans="1:18" x14ac:dyDescent="0.2">
      <c r="A236" s="18" t="s">
        <v>1116</v>
      </c>
      <c r="B236" s="17" t="s">
        <v>1117</v>
      </c>
      <c r="C236" s="18" t="s">
        <v>1116</v>
      </c>
      <c r="D236" s="17" t="s">
        <v>1118</v>
      </c>
      <c r="E236" s="17" t="s">
        <v>1119</v>
      </c>
      <c r="F236" s="17" t="s">
        <v>1117</v>
      </c>
      <c r="G236" s="19">
        <v>44503</v>
      </c>
      <c r="I236" s="17" t="s">
        <v>918</v>
      </c>
      <c r="J236" s="17" t="s">
        <v>742</v>
      </c>
      <c r="K236" s="17" t="s">
        <v>743</v>
      </c>
      <c r="L236" s="17" t="s">
        <v>115</v>
      </c>
      <c r="M236" s="17" t="s">
        <v>77</v>
      </c>
      <c r="N236" s="17" t="s">
        <v>50</v>
      </c>
      <c r="O236" s="17" t="s">
        <v>51</v>
      </c>
      <c r="P236" s="17" t="s">
        <v>68</v>
      </c>
      <c r="Q236" s="17" t="s">
        <v>69</v>
      </c>
      <c r="R236" s="17">
        <v>7</v>
      </c>
    </row>
    <row r="237" spans="1:18" x14ac:dyDescent="0.2">
      <c r="A237" s="18" t="s">
        <v>1120</v>
      </c>
      <c r="B237" s="17" t="s">
        <v>1121</v>
      </c>
      <c r="C237" s="18" t="s">
        <v>1120</v>
      </c>
      <c r="D237" s="17" t="s">
        <v>1122</v>
      </c>
      <c r="E237" s="17" t="s">
        <v>1123</v>
      </c>
      <c r="F237" s="17" t="s">
        <v>1121</v>
      </c>
      <c r="G237" s="19">
        <v>44503</v>
      </c>
      <c r="I237" s="17" t="s">
        <v>1124</v>
      </c>
      <c r="J237" s="17" t="s">
        <v>89</v>
      </c>
      <c r="K237" s="17" t="s">
        <v>89</v>
      </c>
      <c r="L237" s="17" t="s">
        <v>48</v>
      </c>
      <c r="M237" s="17" t="s">
        <v>49</v>
      </c>
      <c r="N237" s="17" t="s">
        <v>50</v>
      </c>
      <c r="O237" s="17" t="s">
        <v>51</v>
      </c>
      <c r="P237" s="17" t="s">
        <v>52</v>
      </c>
      <c r="Q237" s="17" t="s">
        <v>61</v>
      </c>
      <c r="R237" s="17">
        <v>1</v>
      </c>
    </row>
    <row r="238" spans="1:18" x14ac:dyDescent="0.2">
      <c r="A238" s="18" t="s">
        <v>1125</v>
      </c>
      <c r="B238" s="17" t="s">
        <v>1126</v>
      </c>
      <c r="C238" s="18" t="s">
        <v>1125</v>
      </c>
      <c r="D238" s="17" t="s">
        <v>1127</v>
      </c>
      <c r="E238" s="17" t="s">
        <v>1128</v>
      </c>
      <c r="F238" s="17" t="s">
        <v>1126</v>
      </c>
      <c r="G238" s="19">
        <v>44627</v>
      </c>
      <c r="I238" s="17" t="s">
        <v>1129</v>
      </c>
      <c r="J238" s="17" t="s">
        <v>632</v>
      </c>
      <c r="K238" s="17" t="s">
        <v>633</v>
      </c>
      <c r="L238" s="17" t="s">
        <v>48</v>
      </c>
      <c r="M238" s="17" t="s">
        <v>77</v>
      </c>
      <c r="N238" s="17" t="s">
        <v>50</v>
      </c>
      <c r="O238" s="17" t="s">
        <v>51</v>
      </c>
      <c r="P238" s="17" t="s">
        <v>68</v>
      </c>
      <c r="Q238" s="17" t="s">
        <v>108</v>
      </c>
      <c r="R238" s="17">
        <v>8</v>
      </c>
    </row>
    <row r="239" spans="1:18" x14ac:dyDescent="0.2">
      <c r="A239" s="18" t="s">
        <v>1130</v>
      </c>
      <c r="B239" s="17" t="s">
        <v>1131</v>
      </c>
      <c r="C239" s="18" t="s">
        <v>1130</v>
      </c>
      <c r="D239" s="17" t="s">
        <v>1132</v>
      </c>
      <c r="E239" s="17" t="s">
        <v>1133</v>
      </c>
      <c r="F239" s="17" t="s">
        <v>1131</v>
      </c>
      <c r="G239" s="19">
        <v>44662</v>
      </c>
      <c r="I239" s="17" t="s">
        <v>1134</v>
      </c>
      <c r="J239" s="17" t="s">
        <v>46</v>
      </c>
      <c r="K239" s="17" t="s">
        <v>47</v>
      </c>
      <c r="L239" s="17" t="s">
        <v>48</v>
      </c>
      <c r="M239" s="17" t="s">
        <v>77</v>
      </c>
      <c r="N239" s="17" t="s">
        <v>50</v>
      </c>
      <c r="O239" s="17" t="s">
        <v>51</v>
      </c>
      <c r="P239" s="17" t="s">
        <v>52</v>
      </c>
      <c r="Q239" s="17" t="s">
        <v>650</v>
      </c>
      <c r="R239" s="17">
        <v>13</v>
      </c>
    </row>
    <row r="240" spans="1:18" x14ac:dyDescent="0.2">
      <c r="A240" s="18" t="s">
        <v>1135</v>
      </c>
      <c r="B240" s="17" t="s">
        <v>1136</v>
      </c>
      <c r="C240" s="18" t="s">
        <v>1135</v>
      </c>
      <c r="D240" s="17" t="s">
        <v>1137</v>
      </c>
      <c r="E240" s="17" t="s">
        <v>1138</v>
      </c>
      <c r="F240" s="17" t="s">
        <v>1136</v>
      </c>
      <c r="G240" s="19">
        <v>44683</v>
      </c>
      <c r="I240" s="17" t="s">
        <v>1139</v>
      </c>
      <c r="J240" s="17" t="s">
        <v>127</v>
      </c>
      <c r="K240" s="17" t="s">
        <v>67</v>
      </c>
      <c r="L240" s="17" t="s">
        <v>48</v>
      </c>
      <c r="M240" s="17" t="s">
        <v>49</v>
      </c>
      <c r="N240" s="17" t="s">
        <v>50</v>
      </c>
      <c r="O240" s="17" t="s">
        <v>51</v>
      </c>
      <c r="P240" s="17" t="s">
        <v>68</v>
      </c>
      <c r="Q240" s="17" t="s">
        <v>108</v>
      </c>
      <c r="R240" s="17">
        <v>1</v>
      </c>
    </row>
    <row r="241" spans="1:18" x14ac:dyDescent="0.2">
      <c r="A241" s="18" t="s">
        <v>1140</v>
      </c>
      <c r="B241" s="17" t="s">
        <v>4</v>
      </c>
      <c r="C241" s="18" t="s">
        <v>1140</v>
      </c>
      <c r="D241" s="17" t="s">
        <v>1141</v>
      </c>
      <c r="E241" s="17" t="s">
        <v>1142</v>
      </c>
      <c r="F241" s="17" t="s">
        <v>4</v>
      </c>
      <c r="G241" s="19">
        <v>44713</v>
      </c>
      <c r="I241" s="17" t="s">
        <v>1143</v>
      </c>
      <c r="J241" s="17" t="s">
        <v>451</v>
      </c>
      <c r="K241" s="17" t="s">
        <v>76</v>
      </c>
      <c r="L241" s="17" t="s">
        <v>48</v>
      </c>
      <c r="M241" s="17" t="s">
        <v>77</v>
      </c>
      <c r="N241" s="17" t="s">
        <v>50</v>
      </c>
      <c r="O241" s="17" t="s">
        <v>51</v>
      </c>
      <c r="P241" s="17" t="s">
        <v>52</v>
      </c>
      <c r="Q241" s="17" t="s">
        <v>579</v>
      </c>
      <c r="R241" s="17">
        <v>9</v>
      </c>
    </row>
    <row r="242" spans="1:18" x14ac:dyDescent="0.2">
      <c r="A242" s="18" t="s">
        <v>1144</v>
      </c>
      <c r="B242" s="17" t="s">
        <v>1145</v>
      </c>
      <c r="C242" s="18" t="s">
        <v>1144</v>
      </c>
      <c r="D242" s="17" t="s">
        <v>440</v>
      </c>
      <c r="E242" s="17" t="s">
        <v>1146</v>
      </c>
      <c r="F242" s="17" t="s">
        <v>1145</v>
      </c>
      <c r="G242" s="19">
        <v>44713</v>
      </c>
      <c r="I242" s="17" t="s">
        <v>191</v>
      </c>
      <c r="J242" s="17" t="s">
        <v>114</v>
      </c>
      <c r="K242" s="17" t="s">
        <v>95</v>
      </c>
      <c r="L242" s="17" t="s">
        <v>115</v>
      </c>
      <c r="M242" s="17" t="s">
        <v>77</v>
      </c>
      <c r="N242" s="17" t="s">
        <v>50</v>
      </c>
      <c r="O242" s="17" t="s">
        <v>51</v>
      </c>
      <c r="P242" s="17" t="s">
        <v>68</v>
      </c>
      <c r="Q242" s="17" t="s">
        <v>148</v>
      </c>
      <c r="R242" s="17">
        <v>1</v>
      </c>
    </row>
    <row r="243" spans="1:18" x14ac:dyDescent="0.2">
      <c r="A243" s="18" t="s">
        <v>1147</v>
      </c>
      <c r="B243" s="17" t="s">
        <v>1148</v>
      </c>
      <c r="C243" s="18" t="s">
        <v>1147</v>
      </c>
      <c r="D243" s="17" t="s">
        <v>1149</v>
      </c>
      <c r="E243" s="17" t="s">
        <v>1150</v>
      </c>
      <c r="F243" s="17" t="s">
        <v>1148</v>
      </c>
      <c r="G243" s="19">
        <v>44713</v>
      </c>
      <c r="I243" s="17" t="s">
        <v>191</v>
      </c>
      <c r="J243" s="17" t="s">
        <v>114</v>
      </c>
      <c r="K243" s="17" t="s">
        <v>95</v>
      </c>
      <c r="L243" s="17" t="s">
        <v>115</v>
      </c>
      <c r="M243" s="17" t="s">
        <v>77</v>
      </c>
      <c r="N243" s="17" t="s">
        <v>50</v>
      </c>
      <c r="O243" s="17" t="s">
        <v>51</v>
      </c>
      <c r="P243" s="17" t="s">
        <v>68</v>
      </c>
      <c r="Q243" s="17" t="s">
        <v>148</v>
      </c>
      <c r="R243" s="17">
        <v>1</v>
      </c>
    </row>
    <row r="244" spans="1:18" x14ac:dyDescent="0.2">
      <c r="A244" s="18" t="s">
        <v>1151</v>
      </c>
      <c r="B244" s="17" t="s">
        <v>1152</v>
      </c>
      <c r="C244" s="18" t="s">
        <v>1151</v>
      </c>
      <c r="D244" s="17" t="s">
        <v>363</v>
      </c>
      <c r="E244" s="17" t="s">
        <v>1153</v>
      </c>
      <c r="F244" s="17" t="s">
        <v>1152</v>
      </c>
      <c r="G244" s="19">
        <v>44713</v>
      </c>
      <c r="I244" s="17" t="s">
        <v>191</v>
      </c>
      <c r="J244" s="17" t="s">
        <v>114</v>
      </c>
      <c r="K244" s="17" t="s">
        <v>95</v>
      </c>
      <c r="L244" s="17" t="s">
        <v>115</v>
      </c>
      <c r="M244" s="17" t="s">
        <v>77</v>
      </c>
      <c r="N244" s="17" t="s">
        <v>50</v>
      </c>
      <c r="O244" s="17" t="s">
        <v>51</v>
      </c>
      <c r="P244" s="17" t="s">
        <v>68</v>
      </c>
      <c r="Q244" s="17" t="s">
        <v>148</v>
      </c>
      <c r="R244" s="17">
        <v>1</v>
      </c>
    </row>
    <row r="245" spans="1:18" x14ac:dyDescent="0.2">
      <c r="A245" s="18" t="s">
        <v>1154</v>
      </c>
      <c r="B245" s="17" t="s">
        <v>1155</v>
      </c>
      <c r="C245" s="18" t="s">
        <v>1154</v>
      </c>
      <c r="D245" s="17" t="s">
        <v>1156</v>
      </c>
      <c r="E245" s="17" t="s">
        <v>1157</v>
      </c>
      <c r="F245" s="17" t="s">
        <v>1155</v>
      </c>
      <c r="G245" s="19">
        <v>44746</v>
      </c>
      <c r="I245" s="17" t="s">
        <v>918</v>
      </c>
      <c r="J245" s="17" t="s">
        <v>742</v>
      </c>
      <c r="K245" s="17" t="s">
        <v>743</v>
      </c>
      <c r="L245" s="17" t="s">
        <v>115</v>
      </c>
      <c r="M245" s="17" t="s">
        <v>77</v>
      </c>
      <c r="N245" s="17" t="s">
        <v>50</v>
      </c>
      <c r="O245" s="17" t="s">
        <v>51</v>
      </c>
      <c r="P245" s="17" t="s">
        <v>68</v>
      </c>
      <c r="Q245" s="17" t="s">
        <v>69</v>
      </c>
      <c r="R245" s="17">
        <v>1</v>
      </c>
    </row>
    <row r="246" spans="1:18" x14ac:dyDescent="0.2">
      <c r="A246" s="18" t="s">
        <v>1158</v>
      </c>
      <c r="B246" s="17" t="s">
        <v>1159</v>
      </c>
      <c r="C246" s="18" t="s">
        <v>1158</v>
      </c>
      <c r="D246" s="17" t="s">
        <v>1160</v>
      </c>
      <c r="E246" s="17" t="s">
        <v>1161</v>
      </c>
      <c r="F246" s="17" t="s">
        <v>1159</v>
      </c>
      <c r="G246" s="19">
        <v>44746</v>
      </c>
      <c r="I246" s="17" t="s">
        <v>1162</v>
      </c>
      <c r="J246" s="17" t="s">
        <v>46</v>
      </c>
      <c r="K246" s="17" t="s">
        <v>47</v>
      </c>
      <c r="L246" s="17" t="s">
        <v>48</v>
      </c>
      <c r="M246" s="17" t="s">
        <v>77</v>
      </c>
      <c r="N246" s="17" t="s">
        <v>50</v>
      </c>
      <c r="O246" s="17" t="s">
        <v>51</v>
      </c>
      <c r="P246" s="17" t="s">
        <v>68</v>
      </c>
      <c r="Q246" s="17" t="s">
        <v>108</v>
      </c>
      <c r="R246" s="17">
        <v>3</v>
      </c>
    </row>
    <row r="247" spans="1:18" x14ac:dyDescent="0.2">
      <c r="A247" s="18" t="s">
        <v>1163</v>
      </c>
      <c r="B247" s="17" t="s">
        <v>1164</v>
      </c>
      <c r="C247" s="18" t="s">
        <v>1163</v>
      </c>
      <c r="D247" s="17" t="s">
        <v>1165</v>
      </c>
      <c r="E247" s="17" t="s">
        <v>1166</v>
      </c>
      <c r="F247" s="17" t="s">
        <v>1164</v>
      </c>
      <c r="G247" s="19">
        <v>44753</v>
      </c>
      <c r="I247" s="17" t="s">
        <v>1167</v>
      </c>
      <c r="J247" s="17" t="s">
        <v>59</v>
      </c>
      <c r="K247" s="17" t="s">
        <v>60</v>
      </c>
      <c r="L247" s="17" t="s">
        <v>48</v>
      </c>
      <c r="M247" s="17" t="s">
        <v>77</v>
      </c>
      <c r="N247" s="17" t="s">
        <v>50</v>
      </c>
      <c r="O247" s="17" t="s">
        <v>51</v>
      </c>
      <c r="P247" s="17" t="s">
        <v>68</v>
      </c>
      <c r="Q247" s="17" t="s">
        <v>69</v>
      </c>
      <c r="R247" s="17">
        <v>1</v>
      </c>
    </row>
    <row r="248" spans="1:18" x14ac:dyDescent="0.2">
      <c r="A248" s="18" t="s">
        <v>1168</v>
      </c>
      <c r="B248" s="17" t="s">
        <v>1169</v>
      </c>
      <c r="C248" s="18" t="s">
        <v>1168</v>
      </c>
      <c r="D248" s="17" t="s">
        <v>1170</v>
      </c>
      <c r="E248" s="17" t="s">
        <v>1171</v>
      </c>
      <c r="F248" s="17" t="s">
        <v>1169</v>
      </c>
      <c r="G248" s="19">
        <v>44753</v>
      </c>
      <c r="I248" s="17" t="s">
        <v>1172</v>
      </c>
      <c r="J248" s="17" t="s">
        <v>451</v>
      </c>
      <c r="K248" s="17" t="s">
        <v>76</v>
      </c>
      <c r="L248" s="17" t="s">
        <v>48</v>
      </c>
      <c r="M248" s="17" t="s">
        <v>49</v>
      </c>
      <c r="N248" s="17" t="s">
        <v>50</v>
      </c>
      <c r="O248" s="17" t="s">
        <v>51</v>
      </c>
      <c r="P248" s="17" t="s">
        <v>52</v>
      </c>
      <c r="Q248" s="17" t="s">
        <v>53</v>
      </c>
      <c r="R248" s="17">
        <v>8</v>
      </c>
    </row>
    <row r="249" spans="1:18" x14ac:dyDescent="0.2">
      <c r="A249" s="18" t="s">
        <v>1173</v>
      </c>
      <c r="B249" s="17" t="s">
        <v>1174</v>
      </c>
      <c r="C249" s="18" t="s">
        <v>1173</v>
      </c>
      <c r="D249" s="17" t="s">
        <v>1175</v>
      </c>
      <c r="E249" s="17" t="s">
        <v>1176</v>
      </c>
      <c r="F249" s="17" t="s">
        <v>1174</v>
      </c>
      <c r="G249" s="19">
        <v>44774</v>
      </c>
      <c r="I249" s="17" t="s">
        <v>1177</v>
      </c>
      <c r="J249" s="17" t="s">
        <v>1178</v>
      </c>
      <c r="K249" s="17" t="s">
        <v>661</v>
      </c>
      <c r="L249" s="17" t="s">
        <v>48</v>
      </c>
      <c r="M249" s="17" t="s">
        <v>77</v>
      </c>
      <c r="N249" s="17" t="s">
        <v>50</v>
      </c>
      <c r="O249" s="17" t="s">
        <v>51</v>
      </c>
      <c r="P249" s="17" t="s">
        <v>52</v>
      </c>
      <c r="Q249" s="17" t="s">
        <v>650</v>
      </c>
      <c r="R249" s="17">
        <v>3</v>
      </c>
    </row>
    <row r="250" spans="1:18" x14ac:dyDescent="0.2">
      <c r="A250" s="18" t="s">
        <v>1179</v>
      </c>
      <c r="B250" s="17" t="s">
        <v>1180</v>
      </c>
      <c r="C250" s="18" t="s">
        <v>1179</v>
      </c>
      <c r="D250" s="17" t="s">
        <v>1181</v>
      </c>
      <c r="E250" s="17" t="s">
        <v>1182</v>
      </c>
      <c r="F250" s="17" t="s">
        <v>1180</v>
      </c>
      <c r="G250" s="19">
        <v>44781</v>
      </c>
      <c r="I250" s="17" t="s">
        <v>1183</v>
      </c>
      <c r="J250" s="17" t="s">
        <v>107</v>
      </c>
      <c r="K250" s="17" t="s">
        <v>67</v>
      </c>
      <c r="L250" s="17" t="s">
        <v>115</v>
      </c>
      <c r="M250" s="17" t="s">
        <v>49</v>
      </c>
      <c r="N250" s="17" t="s">
        <v>50</v>
      </c>
      <c r="O250" s="17" t="s">
        <v>51</v>
      </c>
      <c r="P250" s="17" t="s">
        <v>68</v>
      </c>
      <c r="Q250" s="17" t="s">
        <v>148</v>
      </c>
      <c r="R250" s="17">
        <v>1</v>
      </c>
    </row>
    <row r="251" spans="1:18" x14ac:dyDescent="0.2">
      <c r="A251" s="18" t="s">
        <v>1184</v>
      </c>
      <c r="B251" s="17" t="s">
        <v>1185</v>
      </c>
      <c r="C251" s="18" t="s">
        <v>1184</v>
      </c>
      <c r="D251" s="17" t="s">
        <v>1186</v>
      </c>
      <c r="E251" s="17" t="s">
        <v>1187</v>
      </c>
      <c r="F251" s="17" t="s">
        <v>1185</v>
      </c>
      <c r="G251" s="19">
        <v>44823</v>
      </c>
      <c r="I251" s="17" t="s">
        <v>1188</v>
      </c>
      <c r="J251" s="17" t="s">
        <v>89</v>
      </c>
      <c r="K251" s="17" t="s">
        <v>89</v>
      </c>
      <c r="L251" s="17" t="s">
        <v>48</v>
      </c>
      <c r="M251" s="17" t="s">
        <v>77</v>
      </c>
      <c r="N251" s="17" t="s">
        <v>50</v>
      </c>
      <c r="O251" s="17" t="s">
        <v>51</v>
      </c>
      <c r="P251" s="17" t="s">
        <v>52</v>
      </c>
      <c r="Q251" s="17" t="s">
        <v>579</v>
      </c>
      <c r="R251" s="17">
        <v>7</v>
      </c>
    </row>
    <row r="252" spans="1:18" x14ac:dyDescent="0.2">
      <c r="A252" s="18" t="s">
        <v>1189</v>
      </c>
      <c r="B252" s="17" t="s">
        <v>1190</v>
      </c>
      <c r="C252" s="18" t="s">
        <v>1189</v>
      </c>
      <c r="D252" s="17" t="s">
        <v>1191</v>
      </c>
      <c r="E252" s="17" t="s">
        <v>1192</v>
      </c>
      <c r="F252" s="17" t="s">
        <v>1190</v>
      </c>
      <c r="G252" s="19">
        <v>44823</v>
      </c>
      <c r="I252" s="17" t="s">
        <v>1193</v>
      </c>
      <c r="J252" s="17" t="s">
        <v>95</v>
      </c>
      <c r="K252" s="17" t="s">
        <v>95</v>
      </c>
      <c r="L252" s="17" t="s">
        <v>48</v>
      </c>
      <c r="M252" s="17" t="s">
        <v>77</v>
      </c>
      <c r="N252" s="17" t="s">
        <v>50</v>
      </c>
      <c r="O252" s="17" t="s">
        <v>51</v>
      </c>
      <c r="P252" s="17" t="s">
        <v>52</v>
      </c>
      <c r="Q252" s="17" t="s">
        <v>579</v>
      </c>
      <c r="R252" s="17">
        <v>19</v>
      </c>
    </row>
  </sheetData>
  <phoneticPr fontId="1" type="noConversion"/>
  <pageMargins left="0.75" right="0.75" top="1" bottom="1" header="0.5" footer="0.5"/>
  <pageSetup paperSize="9" orientation="portrait" horizontalDpi="4294967292" verticalDpi="4294967292" r:id="rId1"/>
  <headerFooter>
    <oddHeader>&amp;L&amp;"Tahoma,Gras"&amp;12BANQUE DE DONNEES FILEMAKER&amp;"Tahoma,Normal"&amp;9_x000D_ &amp;R&amp;10Cette base se met à jour &amp;"Tahoma,Gras italique"seulement&amp;"Tahoma,Normal" en cliquant sur _x000D_"Réactualiser tout" (Barre d'outils)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published="0" codeName="Feuil1"/>
  <dimension ref="A1:Y85"/>
  <sheetViews>
    <sheetView showGridLines="0" tabSelected="1" zoomScale="85" zoomScaleNormal="85" zoomScaleSheetLayoutView="55" zoomScalePageLayoutView="125" workbookViewId="0">
      <pane ySplit="14" topLeftCell="A15" activePane="bottomLeft" state="frozen"/>
      <selection pane="bottomLeft" activeCell="C9" sqref="C9:H9"/>
    </sheetView>
  </sheetViews>
  <sheetFormatPr baseColWidth="10" defaultColWidth="0" defaultRowHeight="14.4" zeroHeight="1" x14ac:dyDescent="0.3"/>
  <cols>
    <col min="1" max="1" width="5.875" style="1" customWidth="1"/>
    <col min="2" max="2" width="22.625" style="1" customWidth="1"/>
    <col min="3" max="3" width="31.75" style="1" customWidth="1"/>
    <col min="4" max="4" width="29.75" style="1" customWidth="1"/>
    <col min="5" max="9" width="14.375" style="1" customWidth="1"/>
    <col min="10" max="10" width="16.75" style="1" customWidth="1"/>
    <col min="11" max="11" width="19.75" style="1" customWidth="1"/>
    <col min="12" max="12" width="14.375" style="1" customWidth="1"/>
    <col min="13" max="13" width="5.875" style="1" customWidth="1"/>
    <col min="14" max="14" width="10.875" style="13" hidden="1" customWidth="1"/>
    <col min="15" max="15" width="10.875" style="32" hidden="1" customWidth="1"/>
    <col min="16" max="23" width="10.875" style="13" hidden="1" customWidth="1"/>
    <col min="24" max="25" width="10.875" style="13" customWidth="1"/>
    <col min="26" max="16384" width="10.875" style="13" hidden="1"/>
  </cols>
  <sheetData>
    <row r="1" spans="2:25" s="1" customFormat="1" x14ac:dyDescent="0.3">
      <c r="M1" s="11"/>
      <c r="N1" s="20">
        <f>IFERROR(ROW(INDEX(BD!$B$2:$B$1000,MATCH($C$9,BD!$B$2:$B$1000,0))),0)</f>
        <v>9</v>
      </c>
      <c r="O1" s="30"/>
      <c r="P1" s="12" t="s">
        <v>1</v>
      </c>
    </row>
    <row r="2" spans="2:25" s="1" customFormat="1" x14ac:dyDescent="0.3">
      <c r="M2" s="11"/>
      <c r="N2" s="1" t="str">
        <f>IFERROR(INDEX(BD!$C$2:$C$1000,MATCH($C$9,BD!$B$2:$B$1000,0)),"")</f>
        <v>0012</v>
      </c>
      <c r="O2" s="30" t="s">
        <v>1197</v>
      </c>
      <c r="P2" s="12" t="s">
        <v>1196</v>
      </c>
    </row>
    <row r="3" spans="2:25" s="1" customFormat="1" x14ac:dyDescent="0.3">
      <c r="M3" s="11"/>
      <c r="N3" s="1" t="str">
        <f>IFERROR(INDEX(BD!$I$2:$I$1000,MATCH($C$9,BD!$B$2:$B$1000,0)),"")</f>
        <v>Chef de Service Electricité et Mécanique</v>
      </c>
      <c r="O3" s="30" t="s">
        <v>1198</v>
      </c>
      <c r="P3" s="12" t="s">
        <v>1195</v>
      </c>
    </row>
    <row r="4" spans="2:25" s="1" customFormat="1" ht="15" thickBot="1" x14ac:dyDescent="0.35">
      <c r="M4" s="11"/>
      <c r="N4" s="1" t="str">
        <f>IFERROR(INDEX(BD!$Q$2:$Q$1000,MATCH($C$9,BD!$B$2:$B$1000,0)),"")</f>
        <v>C10</v>
      </c>
      <c r="O4" s="30" t="s">
        <v>1199</v>
      </c>
    </row>
    <row r="5" spans="2:25" s="1" customFormat="1" ht="39.6" thickBot="1" x14ac:dyDescent="0.35">
      <c r="C5" s="72" t="s">
        <v>2</v>
      </c>
      <c r="D5" s="73"/>
      <c r="E5" s="73"/>
      <c r="F5" s="73"/>
      <c r="G5" s="73"/>
      <c r="H5" s="73"/>
      <c r="I5" s="73"/>
      <c r="J5" s="73"/>
      <c r="K5" s="73"/>
      <c r="L5" s="74"/>
      <c r="M5" s="11"/>
      <c r="N5" s="1" t="str">
        <f>IFERROR(INDEX(BD!$O$2:$O$1000,MATCH($C$9,BD!$B$2:$B$1000,0)),"")</f>
        <v>TNR</v>
      </c>
      <c r="O5" s="30" t="s">
        <v>1200</v>
      </c>
    </row>
    <row r="6" spans="2:25" s="1" customFormat="1" x14ac:dyDescent="0.3">
      <c r="M6" s="11"/>
      <c r="N6" s="1" t="str">
        <f>IFERROR(INDEX(BD!$K$2:$K$1000,MATCH($C$9,BD!$B$2:$B$1000,0)),"")</f>
        <v>DT</v>
      </c>
      <c r="O6" s="30" t="s">
        <v>1201</v>
      </c>
    </row>
    <row r="7" spans="2:25" s="1" customFormat="1" x14ac:dyDescent="0.3">
      <c r="M7" s="11"/>
      <c r="N7" s="1" t="str">
        <f>IFERROR(INDEX(BD!$J$2:$J$1000,MATCH($C$9,BD!$B$2:$B$1000,0)),"")</f>
        <v>ELECTRICITE ET MECANIQUE</v>
      </c>
      <c r="O7" s="30" t="s">
        <v>1202</v>
      </c>
    </row>
    <row r="8" spans="2:25" s="1" customFormat="1" ht="10.5" customHeight="1" x14ac:dyDescent="0.3">
      <c r="C8" s="1" t="s">
        <v>0</v>
      </c>
      <c r="M8" s="11"/>
      <c r="O8" s="30"/>
    </row>
    <row r="9" spans="2:25" s="1" customFormat="1" ht="24.75" customHeight="1" x14ac:dyDescent="0.3">
      <c r="B9" s="2" t="s">
        <v>3</v>
      </c>
      <c r="C9" s="55" t="s">
        <v>97</v>
      </c>
      <c r="D9" s="56"/>
      <c r="E9" s="56"/>
      <c r="F9" s="56"/>
      <c r="G9" s="56"/>
      <c r="H9" s="56"/>
      <c r="I9" s="3" t="s">
        <v>0</v>
      </c>
      <c r="J9" s="3" t="s">
        <v>5</v>
      </c>
      <c r="K9" s="75">
        <v>12</v>
      </c>
      <c r="L9" s="76"/>
      <c r="M9" s="11"/>
    </row>
    <row r="10" spans="2:25" s="1" customFormat="1" ht="10.5" customHeight="1" x14ac:dyDescent="0.3">
      <c r="M10" s="11"/>
      <c r="O10" s="33"/>
    </row>
    <row r="11" spans="2:25" s="1" customFormat="1" ht="24.75" customHeight="1" x14ac:dyDescent="0.3">
      <c r="B11" s="2" t="s">
        <v>6</v>
      </c>
      <c r="C11" s="61" t="s">
        <v>100</v>
      </c>
      <c r="D11" s="62"/>
      <c r="E11" s="62"/>
      <c r="F11" s="62"/>
      <c r="G11" s="62"/>
      <c r="H11" s="62"/>
      <c r="I11" s="3"/>
      <c r="J11" s="39"/>
      <c r="K11" s="77"/>
      <c r="L11" s="77"/>
      <c r="M11" s="11"/>
      <c r="O11" s="33"/>
      <c r="Y11"/>
    </row>
    <row r="12" spans="2:25" s="1" customFormat="1" ht="6" customHeight="1" x14ac:dyDescent="0.3">
      <c r="C12" s="1" t="s">
        <v>0</v>
      </c>
      <c r="M12" s="11"/>
      <c r="O12" s="33"/>
    </row>
    <row r="13" spans="2:25" s="1" customFormat="1" ht="24.75" customHeight="1" x14ac:dyDescent="0.3">
      <c r="B13" s="2" t="s">
        <v>7</v>
      </c>
      <c r="C13" s="59" t="s">
        <v>51</v>
      </c>
      <c r="D13" s="60"/>
      <c r="E13" s="3" t="s">
        <v>8</v>
      </c>
      <c r="F13" s="59" t="s">
        <v>89</v>
      </c>
      <c r="G13" s="60"/>
      <c r="I13" s="4" t="s">
        <v>9</v>
      </c>
      <c r="J13" s="59" t="s">
        <v>101</v>
      </c>
      <c r="K13" s="60"/>
      <c r="L13" s="60"/>
      <c r="M13" s="11"/>
      <c r="O13" s="33"/>
    </row>
    <row r="14" spans="2:25" s="1" customFormat="1" ht="6" customHeight="1" x14ac:dyDescent="0.3">
      <c r="M14" s="11"/>
      <c r="O14" s="33"/>
    </row>
    <row r="15" spans="2:25" s="1" customFormat="1" ht="24.75" customHeight="1" x14ac:dyDescent="0.3">
      <c r="B15" s="2" t="s">
        <v>10</v>
      </c>
      <c r="C15" s="59"/>
      <c r="D15" s="60"/>
      <c r="F15" s="5"/>
      <c r="G15" s="3" t="s">
        <v>1194</v>
      </c>
      <c r="H15" s="59"/>
      <c r="I15" s="60"/>
      <c r="J15" s="60"/>
      <c r="K15" s="60"/>
      <c r="L15" s="60"/>
      <c r="M15" s="11"/>
      <c r="O15" s="33"/>
    </row>
    <row r="16" spans="2:25" s="1" customFormat="1" ht="6" customHeight="1" x14ac:dyDescent="0.3">
      <c r="M16" s="11"/>
      <c r="O16" s="34"/>
    </row>
    <row r="17" spans="2:16" s="1" customFormat="1" ht="55.8" customHeight="1" x14ac:dyDescent="0.3">
      <c r="B17" s="2" t="s">
        <v>11</v>
      </c>
      <c r="C17" s="78"/>
      <c r="D17" s="79"/>
      <c r="F17" s="6"/>
      <c r="G17" s="80"/>
      <c r="H17" s="81"/>
      <c r="I17" s="81"/>
      <c r="J17" s="81"/>
      <c r="K17" s="81"/>
      <c r="L17" s="81"/>
      <c r="M17" s="11"/>
      <c r="O17" s="34"/>
    </row>
    <row r="18" spans="2:16" s="1" customFormat="1" ht="6" customHeight="1" x14ac:dyDescent="0.3">
      <c r="M18" s="11"/>
      <c r="O18" s="30"/>
    </row>
    <row r="19" spans="2:16" s="1" customFormat="1" ht="26.4" customHeight="1" x14ac:dyDescent="0.3">
      <c r="B19" s="2" t="s">
        <v>12</v>
      </c>
      <c r="C19" s="42">
        <v>44236</v>
      </c>
      <c r="D19" s="7" t="s">
        <v>13</v>
      </c>
      <c r="E19" s="44"/>
      <c r="G19" s="6" t="s">
        <v>14</v>
      </c>
      <c r="J19" s="82">
        <v>33</v>
      </c>
      <c r="K19" s="83"/>
      <c r="L19" s="83"/>
      <c r="M19" s="11"/>
      <c r="O19" s="30"/>
    </row>
    <row r="20" spans="2:16" s="1" customFormat="1" ht="6" customHeight="1" x14ac:dyDescent="0.3">
      <c r="C20" s="43"/>
      <c r="E20" s="45"/>
      <c r="M20" s="11"/>
      <c r="O20" s="30"/>
    </row>
    <row r="21" spans="2:16" s="1" customFormat="1" ht="25.2" customHeight="1" x14ac:dyDescent="0.3">
      <c r="B21" s="2" t="s">
        <v>15</v>
      </c>
      <c r="C21" s="42">
        <v>44268</v>
      </c>
      <c r="D21" s="7" t="s">
        <v>13</v>
      </c>
      <c r="E21" s="44"/>
      <c r="M21" s="11"/>
      <c r="O21" s="30"/>
    </row>
    <row r="22" spans="2:16" s="1" customFormat="1" x14ac:dyDescent="0.3">
      <c r="M22" s="11"/>
      <c r="O22" s="30"/>
    </row>
    <row r="23" spans="2:16" s="1" customFormat="1" x14ac:dyDescent="0.3">
      <c r="M23" s="11"/>
      <c r="O23" s="30"/>
    </row>
    <row r="24" spans="2:16" s="1" customFormat="1" ht="31.2" x14ac:dyDescent="0.3">
      <c r="C24" s="67" t="s">
        <v>16</v>
      </c>
      <c r="D24" s="68"/>
      <c r="E24" s="68"/>
      <c r="F24" s="68"/>
      <c r="G24" s="68"/>
      <c r="H24" s="68"/>
      <c r="I24" s="68"/>
      <c r="J24" s="68"/>
      <c r="K24" s="68"/>
      <c r="L24" s="69"/>
      <c r="M24" s="11"/>
      <c r="O24" s="30"/>
      <c r="P24" s="33"/>
    </row>
    <row r="25" spans="2:16" s="1" customFormat="1" ht="4.5" customHeight="1" x14ac:dyDescent="0.3">
      <c r="M25" s="11"/>
      <c r="O25" s="30"/>
    </row>
    <row r="26" spans="2:16" s="23" customFormat="1" ht="26.25" customHeight="1" x14ac:dyDescent="0.2">
      <c r="B26" s="24" t="s">
        <v>17</v>
      </c>
      <c r="C26" s="24" t="s">
        <v>18</v>
      </c>
      <c r="D26" s="24" t="s">
        <v>19</v>
      </c>
      <c r="E26" s="70" t="s">
        <v>20</v>
      </c>
      <c r="F26" s="71"/>
      <c r="G26" s="70" t="s">
        <v>21</v>
      </c>
      <c r="H26" s="71"/>
      <c r="I26" s="70" t="s">
        <v>1211</v>
      </c>
      <c r="J26" s="71"/>
      <c r="K26" s="70" t="s">
        <v>22</v>
      </c>
      <c r="L26" s="71"/>
      <c r="M26" s="22"/>
      <c r="O26" s="31"/>
    </row>
    <row r="27" spans="2:16" s="1" customFormat="1" ht="27" customHeight="1" x14ac:dyDescent="0.4">
      <c r="B27" s="41">
        <v>44236</v>
      </c>
      <c r="C27" s="40"/>
      <c r="D27" s="40">
        <v>25000</v>
      </c>
      <c r="E27" s="51">
        <v>35000</v>
      </c>
      <c r="F27" s="52"/>
      <c r="G27" s="51">
        <v>35000</v>
      </c>
      <c r="H27" s="52"/>
      <c r="I27" s="51">
        <v>120000</v>
      </c>
      <c r="J27" s="52"/>
      <c r="K27" s="65">
        <f>SUM(C27:J27)</f>
        <v>215000</v>
      </c>
      <c r="L27" s="66"/>
      <c r="M27" s="11"/>
      <c r="N27" s="27"/>
      <c r="O27" s="35" t="s">
        <v>18</v>
      </c>
      <c r="P27" s="35"/>
    </row>
    <row r="28" spans="2:16" s="1" customFormat="1" ht="27" customHeight="1" x14ac:dyDescent="0.4">
      <c r="B28" s="41">
        <v>44237</v>
      </c>
      <c r="C28" s="40"/>
      <c r="D28" s="40">
        <v>25000</v>
      </c>
      <c r="E28" s="51">
        <v>35000</v>
      </c>
      <c r="F28" s="52"/>
      <c r="G28" s="51">
        <v>35000</v>
      </c>
      <c r="H28" s="52"/>
      <c r="I28" s="51">
        <v>120000</v>
      </c>
      <c r="J28" s="52"/>
      <c r="K28" s="65">
        <f t="shared" ref="K28:K54" si="0">SUM(C28:J28)</f>
        <v>215000</v>
      </c>
      <c r="L28" s="66"/>
      <c r="M28" s="11"/>
      <c r="N28" s="27">
        <v>25000</v>
      </c>
      <c r="O28" s="35" t="s">
        <v>19</v>
      </c>
      <c r="P28" s="35"/>
    </row>
    <row r="29" spans="2:16" s="1" customFormat="1" ht="27" customHeight="1" x14ac:dyDescent="0.4">
      <c r="B29" s="41">
        <v>44238</v>
      </c>
      <c r="C29" s="40"/>
      <c r="D29" s="40">
        <v>25000</v>
      </c>
      <c r="E29" s="51">
        <v>35000</v>
      </c>
      <c r="F29" s="52"/>
      <c r="G29" s="51">
        <v>35000</v>
      </c>
      <c r="H29" s="52"/>
      <c r="I29" s="51">
        <v>120000</v>
      </c>
      <c r="J29" s="52"/>
      <c r="K29" s="65">
        <f t="shared" si="0"/>
        <v>215000</v>
      </c>
      <c r="L29" s="66"/>
      <c r="M29" s="11"/>
      <c r="N29" s="27">
        <v>35000</v>
      </c>
      <c r="O29" s="35" t="s">
        <v>20</v>
      </c>
      <c r="P29" s="35"/>
    </row>
    <row r="30" spans="2:16" s="1" customFormat="1" ht="27" customHeight="1" x14ac:dyDescent="0.4">
      <c r="B30" s="41">
        <v>44239</v>
      </c>
      <c r="C30" s="40"/>
      <c r="D30" s="40">
        <v>25000</v>
      </c>
      <c r="E30" s="51">
        <v>35000</v>
      </c>
      <c r="F30" s="52"/>
      <c r="G30" s="51">
        <v>35000</v>
      </c>
      <c r="H30" s="52"/>
      <c r="I30" s="51">
        <v>120000</v>
      </c>
      <c r="J30" s="52"/>
      <c r="K30" s="65">
        <f t="shared" si="0"/>
        <v>215000</v>
      </c>
      <c r="L30" s="66"/>
      <c r="M30" s="11"/>
      <c r="N30" s="27">
        <v>35000</v>
      </c>
      <c r="O30" s="35" t="s">
        <v>21</v>
      </c>
      <c r="P30" s="35"/>
    </row>
    <row r="31" spans="2:16" s="1" customFormat="1" ht="27" customHeight="1" x14ac:dyDescent="0.4">
      <c r="B31" s="41">
        <v>44240</v>
      </c>
      <c r="C31" s="40"/>
      <c r="D31" s="40">
        <v>25000</v>
      </c>
      <c r="E31" s="51">
        <v>35000</v>
      </c>
      <c r="F31" s="52"/>
      <c r="G31" s="51">
        <v>35000</v>
      </c>
      <c r="H31" s="52"/>
      <c r="I31" s="51">
        <v>120000</v>
      </c>
      <c r="J31" s="52"/>
      <c r="K31" s="65">
        <f t="shared" si="0"/>
        <v>215000</v>
      </c>
      <c r="L31" s="66"/>
      <c r="M31" s="11"/>
      <c r="N31" s="27">
        <v>120000</v>
      </c>
      <c r="O31" s="35" t="s">
        <v>1211</v>
      </c>
      <c r="P31" s="35"/>
    </row>
    <row r="32" spans="2:16" s="1" customFormat="1" ht="27" customHeight="1" x14ac:dyDescent="0.4">
      <c r="B32" s="41">
        <v>44241</v>
      </c>
      <c r="C32" s="40"/>
      <c r="D32" s="40">
        <v>25000</v>
      </c>
      <c r="E32" s="51">
        <v>35000</v>
      </c>
      <c r="F32" s="52"/>
      <c r="G32" s="51">
        <v>35000</v>
      </c>
      <c r="H32" s="52"/>
      <c r="I32" s="51">
        <v>120000</v>
      </c>
      <c r="J32" s="52"/>
      <c r="K32" s="65">
        <f t="shared" si="0"/>
        <v>215000</v>
      </c>
      <c r="L32" s="66"/>
      <c r="M32" s="11"/>
      <c r="N32" s="27"/>
      <c r="O32" s="35"/>
      <c r="P32" s="35"/>
    </row>
    <row r="33" spans="2:16" s="1" customFormat="1" ht="27" customHeight="1" x14ac:dyDescent="0.4">
      <c r="B33" s="41">
        <v>44242</v>
      </c>
      <c r="C33" s="40"/>
      <c r="D33" s="40">
        <v>25000</v>
      </c>
      <c r="E33" s="51">
        <v>35000</v>
      </c>
      <c r="F33" s="52"/>
      <c r="G33" s="51">
        <v>35000</v>
      </c>
      <c r="H33" s="52"/>
      <c r="I33" s="51">
        <v>120000</v>
      </c>
      <c r="J33" s="52"/>
      <c r="K33" s="65">
        <f t="shared" si="0"/>
        <v>215000</v>
      </c>
      <c r="L33" s="66"/>
      <c r="M33" s="11"/>
      <c r="N33" s="27"/>
      <c r="O33" s="35"/>
      <c r="P33" s="35"/>
    </row>
    <row r="34" spans="2:16" s="1" customFormat="1" ht="27" customHeight="1" x14ac:dyDescent="0.4">
      <c r="B34" s="41">
        <v>44243</v>
      </c>
      <c r="C34" s="40"/>
      <c r="D34" s="40">
        <v>25000</v>
      </c>
      <c r="E34" s="51">
        <v>35000</v>
      </c>
      <c r="F34" s="52"/>
      <c r="G34" s="51">
        <v>35000</v>
      </c>
      <c r="H34" s="52"/>
      <c r="I34" s="51">
        <v>120000</v>
      </c>
      <c r="J34" s="52"/>
      <c r="K34" s="65">
        <f t="shared" si="0"/>
        <v>215000</v>
      </c>
      <c r="L34" s="66"/>
      <c r="M34" s="11"/>
      <c r="N34" s="27"/>
      <c r="O34" s="35"/>
      <c r="P34" s="35"/>
    </row>
    <row r="35" spans="2:16" s="1" customFormat="1" ht="27" customHeight="1" x14ac:dyDescent="0.4">
      <c r="B35" s="41">
        <v>44244</v>
      </c>
      <c r="C35" s="40"/>
      <c r="D35" s="40">
        <v>25000</v>
      </c>
      <c r="E35" s="51">
        <v>35000</v>
      </c>
      <c r="F35" s="52"/>
      <c r="G35" s="51">
        <v>35000</v>
      </c>
      <c r="H35" s="52"/>
      <c r="I35" s="51">
        <v>120000</v>
      </c>
      <c r="J35" s="52"/>
      <c r="K35" s="65">
        <f t="shared" ref="K35:K39" si="1">SUM(C35:J35)</f>
        <v>215000</v>
      </c>
      <c r="L35" s="66"/>
      <c r="M35" s="11"/>
      <c r="N35" s="27"/>
      <c r="O35" s="35"/>
      <c r="P35" s="35"/>
    </row>
    <row r="36" spans="2:16" s="1" customFormat="1" ht="27" customHeight="1" x14ac:dyDescent="0.4">
      <c r="B36" s="41">
        <v>44245</v>
      </c>
      <c r="C36" s="40"/>
      <c r="D36" s="40">
        <v>25000</v>
      </c>
      <c r="E36" s="51">
        <v>35000</v>
      </c>
      <c r="F36" s="52"/>
      <c r="G36" s="51">
        <v>35000</v>
      </c>
      <c r="H36" s="52"/>
      <c r="I36" s="51">
        <v>120000</v>
      </c>
      <c r="J36" s="52"/>
      <c r="K36" s="65">
        <f t="shared" si="1"/>
        <v>215000</v>
      </c>
      <c r="L36" s="66"/>
      <c r="M36" s="11"/>
      <c r="N36" s="27"/>
      <c r="O36" s="35"/>
      <c r="P36" s="35"/>
    </row>
    <row r="37" spans="2:16" s="1" customFormat="1" ht="27" customHeight="1" x14ac:dyDescent="0.4">
      <c r="B37" s="41">
        <v>44246</v>
      </c>
      <c r="C37" s="40"/>
      <c r="D37" s="40">
        <v>25000</v>
      </c>
      <c r="E37" s="51">
        <v>35000</v>
      </c>
      <c r="F37" s="52"/>
      <c r="G37" s="51">
        <v>35000</v>
      </c>
      <c r="H37" s="52"/>
      <c r="I37" s="51">
        <v>120000</v>
      </c>
      <c r="J37" s="52"/>
      <c r="K37" s="65">
        <f t="shared" si="1"/>
        <v>215000</v>
      </c>
      <c r="L37" s="66"/>
      <c r="M37" s="11"/>
      <c r="N37" s="27"/>
      <c r="O37" s="35"/>
      <c r="P37" s="35"/>
    </row>
    <row r="38" spans="2:16" s="1" customFormat="1" ht="27" customHeight="1" x14ac:dyDescent="0.4">
      <c r="B38" s="41">
        <v>44247</v>
      </c>
      <c r="C38" s="40"/>
      <c r="D38" s="40">
        <v>25000</v>
      </c>
      <c r="E38" s="51">
        <v>35000</v>
      </c>
      <c r="F38" s="52"/>
      <c r="G38" s="51">
        <v>35000</v>
      </c>
      <c r="H38" s="52"/>
      <c r="I38" s="51">
        <v>120000</v>
      </c>
      <c r="J38" s="52"/>
      <c r="K38" s="65">
        <f t="shared" si="1"/>
        <v>215000</v>
      </c>
      <c r="L38" s="66"/>
      <c r="M38" s="11"/>
      <c r="N38" s="27"/>
      <c r="O38" s="35"/>
      <c r="P38" s="35"/>
    </row>
    <row r="39" spans="2:16" s="1" customFormat="1" ht="27" customHeight="1" x14ac:dyDescent="0.4">
      <c r="B39" s="41">
        <v>44248</v>
      </c>
      <c r="C39" s="40"/>
      <c r="D39" s="40">
        <v>25000</v>
      </c>
      <c r="E39" s="51">
        <v>35000</v>
      </c>
      <c r="F39" s="52"/>
      <c r="G39" s="51">
        <v>35000</v>
      </c>
      <c r="H39" s="52"/>
      <c r="I39" s="51">
        <v>120000</v>
      </c>
      <c r="J39" s="52"/>
      <c r="K39" s="65">
        <f t="shared" si="1"/>
        <v>215000</v>
      </c>
      <c r="L39" s="66"/>
      <c r="M39" s="11"/>
      <c r="N39" s="27"/>
      <c r="O39" s="35"/>
      <c r="P39" s="35"/>
    </row>
    <row r="40" spans="2:16" s="1" customFormat="1" ht="27" customHeight="1" x14ac:dyDescent="0.4">
      <c r="B40" s="41">
        <v>44249</v>
      </c>
      <c r="C40" s="40"/>
      <c r="D40" s="40">
        <v>25000</v>
      </c>
      <c r="E40" s="51">
        <v>35000</v>
      </c>
      <c r="F40" s="52"/>
      <c r="G40" s="51">
        <v>35000</v>
      </c>
      <c r="H40" s="52"/>
      <c r="I40" s="51">
        <v>120000</v>
      </c>
      <c r="J40" s="52"/>
      <c r="K40" s="65">
        <f t="shared" si="0"/>
        <v>215000</v>
      </c>
      <c r="L40" s="66"/>
      <c r="M40" s="11"/>
      <c r="N40" s="27"/>
      <c r="O40" s="35"/>
      <c r="P40" s="35"/>
    </row>
    <row r="41" spans="2:16" s="1" customFormat="1" ht="27" customHeight="1" x14ac:dyDescent="0.4">
      <c r="B41" s="41">
        <v>44250</v>
      </c>
      <c r="C41" s="40"/>
      <c r="D41" s="40">
        <v>25000</v>
      </c>
      <c r="E41" s="51">
        <v>35000</v>
      </c>
      <c r="F41" s="52"/>
      <c r="G41" s="51">
        <v>35000</v>
      </c>
      <c r="H41" s="52"/>
      <c r="I41" s="51">
        <v>120000</v>
      </c>
      <c r="J41" s="52"/>
      <c r="K41" s="65">
        <f t="shared" si="0"/>
        <v>215000</v>
      </c>
      <c r="L41" s="66"/>
      <c r="M41" s="11"/>
      <c r="P41" s="35"/>
    </row>
    <row r="42" spans="2:16" s="1" customFormat="1" ht="27" customHeight="1" x14ac:dyDescent="0.4">
      <c r="B42" s="41">
        <v>44251</v>
      </c>
      <c r="C42" s="40"/>
      <c r="D42" s="40">
        <v>25000</v>
      </c>
      <c r="E42" s="51">
        <v>35000</v>
      </c>
      <c r="F42" s="52"/>
      <c r="G42" s="51">
        <v>35000</v>
      </c>
      <c r="H42" s="52"/>
      <c r="I42" s="51">
        <v>120000</v>
      </c>
      <c r="J42" s="52"/>
      <c r="K42" s="65">
        <f t="shared" ref="K42:K45" si="2">SUM(C42:J42)</f>
        <v>215000</v>
      </c>
      <c r="L42" s="66"/>
      <c r="M42" s="11"/>
      <c r="P42" s="35"/>
    </row>
    <row r="43" spans="2:16" s="1" customFormat="1" ht="27" customHeight="1" x14ac:dyDescent="0.4">
      <c r="B43" s="41">
        <v>44252</v>
      </c>
      <c r="C43" s="40"/>
      <c r="D43" s="40">
        <v>25000</v>
      </c>
      <c r="E43" s="51">
        <v>35000</v>
      </c>
      <c r="F43" s="52"/>
      <c r="G43" s="51">
        <v>35000</v>
      </c>
      <c r="H43" s="52"/>
      <c r="I43" s="51">
        <v>120000</v>
      </c>
      <c r="J43" s="52"/>
      <c r="K43" s="65">
        <f t="shared" si="2"/>
        <v>215000</v>
      </c>
      <c r="L43" s="66"/>
      <c r="M43" s="11"/>
      <c r="P43" s="35"/>
    </row>
    <row r="44" spans="2:16" s="1" customFormat="1" ht="27" customHeight="1" x14ac:dyDescent="0.4">
      <c r="B44" s="41">
        <v>44253</v>
      </c>
      <c r="C44" s="40"/>
      <c r="D44" s="40">
        <v>25000</v>
      </c>
      <c r="E44" s="51">
        <v>35000</v>
      </c>
      <c r="F44" s="52"/>
      <c r="G44" s="51">
        <v>35000</v>
      </c>
      <c r="H44" s="52"/>
      <c r="I44" s="51">
        <v>120000</v>
      </c>
      <c r="J44" s="52"/>
      <c r="K44" s="65">
        <f t="shared" si="2"/>
        <v>215000</v>
      </c>
      <c r="L44" s="66"/>
      <c r="M44" s="11"/>
      <c r="P44" s="35"/>
    </row>
    <row r="45" spans="2:16" s="1" customFormat="1" ht="27" customHeight="1" x14ac:dyDescent="0.4">
      <c r="B45" s="41">
        <v>44254</v>
      </c>
      <c r="C45" s="40"/>
      <c r="D45" s="40">
        <v>25000</v>
      </c>
      <c r="E45" s="51">
        <v>35000</v>
      </c>
      <c r="F45" s="52"/>
      <c r="G45" s="51">
        <v>35000</v>
      </c>
      <c r="H45" s="52"/>
      <c r="I45" s="51">
        <v>120000</v>
      </c>
      <c r="J45" s="52"/>
      <c r="K45" s="65">
        <f t="shared" si="2"/>
        <v>215000</v>
      </c>
      <c r="L45" s="66"/>
      <c r="M45" s="11"/>
      <c r="P45" s="35"/>
    </row>
    <row r="46" spans="2:16" s="1" customFormat="1" ht="27" customHeight="1" x14ac:dyDescent="0.4">
      <c r="B46" s="41">
        <v>44255</v>
      </c>
      <c r="C46" s="40"/>
      <c r="D46" s="40">
        <v>25000</v>
      </c>
      <c r="E46" s="51">
        <v>35000</v>
      </c>
      <c r="F46" s="52"/>
      <c r="G46" s="51">
        <v>35000</v>
      </c>
      <c r="H46" s="52"/>
      <c r="I46" s="51">
        <v>120000</v>
      </c>
      <c r="J46" s="52"/>
      <c r="K46" s="65">
        <f t="shared" si="0"/>
        <v>215000</v>
      </c>
      <c r="L46" s="66"/>
      <c r="M46" s="11"/>
      <c r="P46" s="35"/>
    </row>
    <row r="47" spans="2:16" s="1" customFormat="1" ht="27" customHeight="1" x14ac:dyDescent="0.4">
      <c r="B47" s="41">
        <v>44256</v>
      </c>
      <c r="C47" s="40"/>
      <c r="D47" s="40">
        <v>25000</v>
      </c>
      <c r="E47" s="51">
        <v>35000</v>
      </c>
      <c r="F47" s="52"/>
      <c r="G47" s="51">
        <v>35000</v>
      </c>
      <c r="H47" s="52"/>
      <c r="I47" s="51">
        <v>120000</v>
      </c>
      <c r="J47" s="52"/>
      <c r="K47" s="65">
        <f t="shared" si="0"/>
        <v>215000</v>
      </c>
      <c r="L47" s="66"/>
      <c r="M47" s="11"/>
      <c r="O47" s="30"/>
    </row>
    <row r="48" spans="2:16" s="1" customFormat="1" ht="27" customHeight="1" x14ac:dyDescent="0.4">
      <c r="B48" s="41">
        <v>44257</v>
      </c>
      <c r="C48" s="40"/>
      <c r="D48" s="40">
        <v>25000</v>
      </c>
      <c r="E48" s="51">
        <v>35000</v>
      </c>
      <c r="F48" s="52"/>
      <c r="G48" s="51">
        <v>35000</v>
      </c>
      <c r="H48" s="52"/>
      <c r="I48" s="51">
        <v>120000</v>
      </c>
      <c r="J48" s="52"/>
      <c r="K48" s="65">
        <f t="shared" ref="K48:K52" si="3">SUM(C48:J48)</f>
        <v>215000</v>
      </c>
      <c r="L48" s="66"/>
      <c r="M48" s="11"/>
      <c r="O48" s="30"/>
    </row>
    <row r="49" spans="2:15" s="1" customFormat="1" ht="27" customHeight="1" x14ac:dyDescent="0.4">
      <c r="B49" s="41">
        <v>44258</v>
      </c>
      <c r="C49" s="40"/>
      <c r="D49" s="40">
        <v>25000</v>
      </c>
      <c r="E49" s="51">
        <v>35000</v>
      </c>
      <c r="F49" s="52"/>
      <c r="G49" s="51">
        <v>35000</v>
      </c>
      <c r="H49" s="52"/>
      <c r="I49" s="51">
        <v>120000</v>
      </c>
      <c r="J49" s="52"/>
      <c r="K49" s="65">
        <f t="shared" si="3"/>
        <v>215000</v>
      </c>
      <c r="L49" s="66"/>
      <c r="M49" s="11"/>
      <c r="O49" s="30"/>
    </row>
    <row r="50" spans="2:15" s="1" customFormat="1" ht="27" customHeight="1" x14ac:dyDescent="0.4">
      <c r="B50" s="41">
        <v>44259</v>
      </c>
      <c r="C50" s="40"/>
      <c r="D50" s="40">
        <v>25000</v>
      </c>
      <c r="E50" s="51">
        <v>35000</v>
      </c>
      <c r="F50" s="52"/>
      <c r="G50" s="51">
        <v>35000</v>
      </c>
      <c r="H50" s="52"/>
      <c r="I50" s="51">
        <v>120000</v>
      </c>
      <c r="J50" s="52"/>
      <c r="K50" s="65">
        <f t="shared" si="3"/>
        <v>215000</v>
      </c>
      <c r="L50" s="66"/>
      <c r="M50" s="11"/>
      <c r="O50" s="30"/>
    </row>
    <row r="51" spans="2:15" s="1" customFormat="1" ht="27" customHeight="1" x14ac:dyDescent="0.4">
      <c r="B51" s="41">
        <v>44260</v>
      </c>
      <c r="C51" s="40"/>
      <c r="D51" s="40">
        <v>25000</v>
      </c>
      <c r="E51" s="51">
        <v>35000</v>
      </c>
      <c r="F51" s="52"/>
      <c r="G51" s="51">
        <v>35000</v>
      </c>
      <c r="H51" s="52"/>
      <c r="I51" s="51">
        <v>120000</v>
      </c>
      <c r="J51" s="52"/>
      <c r="K51" s="65">
        <f t="shared" si="3"/>
        <v>215000</v>
      </c>
      <c r="L51" s="66"/>
      <c r="M51" s="11"/>
      <c r="O51" s="30"/>
    </row>
    <row r="52" spans="2:15" s="1" customFormat="1" ht="27" customHeight="1" x14ac:dyDescent="0.4">
      <c r="B52" s="41">
        <v>44261</v>
      </c>
      <c r="C52" s="40"/>
      <c r="D52" s="40">
        <v>25000</v>
      </c>
      <c r="E52" s="51">
        <v>35000</v>
      </c>
      <c r="F52" s="52"/>
      <c r="G52" s="51">
        <v>35000</v>
      </c>
      <c r="H52" s="52"/>
      <c r="I52" s="51">
        <v>120000</v>
      </c>
      <c r="J52" s="52"/>
      <c r="K52" s="65">
        <f t="shared" si="3"/>
        <v>215000</v>
      </c>
      <c r="L52" s="66"/>
      <c r="M52" s="11"/>
      <c r="O52" s="30"/>
    </row>
    <row r="53" spans="2:15" s="1" customFormat="1" ht="27" customHeight="1" x14ac:dyDescent="0.4">
      <c r="B53" s="41">
        <v>44262</v>
      </c>
      <c r="C53" s="40"/>
      <c r="D53" s="40">
        <v>25000</v>
      </c>
      <c r="E53" s="51">
        <v>35000</v>
      </c>
      <c r="F53" s="52"/>
      <c r="G53" s="51">
        <v>35000</v>
      </c>
      <c r="H53" s="52"/>
      <c r="I53" s="51">
        <v>120000</v>
      </c>
      <c r="J53" s="52"/>
      <c r="K53" s="65">
        <f t="shared" si="0"/>
        <v>215000</v>
      </c>
      <c r="L53" s="66"/>
      <c r="M53" s="11"/>
      <c r="O53" s="30"/>
    </row>
    <row r="54" spans="2:15" s="1" customFormat="1" ht="27" customHeight="1" x14ac:dyDescent="0.4">
      <c r="B54" s="41">
        <v>44263</v>
      </c>
      <c r="C54" s="40"/>
      <c r="D54" s="40">
        <v>25000</v>
      </c>
      <c r="E54" s="51">
        <v>35000</v>
      </c>
      <c r="F54" s="52"/>
      <c r="G54" s="51">
        <v>35000</v>
      </c>
      <c r="H54" s="52"/>
      <c r="I54" s="51">
        <v>120000</v>
      </c>
      <c r="J54" s="52"/>
      <c r="K54" s="65">
        <f t="shared" si="0"/>
        <v>215000</v>
      </c>
      <c r="L54" s="66"/>
      <c r="M54" s="11"/>
      <c r="O54" s="30"/>
    </row>
    <row r="55" spans="2:15" s="1" customFormat="1" ht="27" customHeight="1" x14ac:dyDescent="0.4">
      <c r="B55" s="41">
        <v>44264</v>
      </c>
      <c r="C55" s="40"/>
      <c r="D55" s="40">
        <v>25000</v>
      </c>
      <c r="E55" s="51">
        <v>35000</v>
      </c>
      <c r="F55" s="52"/>
      <c r="G55" s="51">
        <v>35000</v>
      </c>
      <c r="H55" s="52"/>
      <c r="I55" s="51">
        <v>120000</v>
      </c>
      <c r="J55" s="52"/>
      <c r="K55" s="65">
        <f t="shared" ref="K55:K57" si="4">SUM(C55:J55)</f>
        <v>215000</v>
      </c>
      <c r="L55" s="66"/>
      <c r="M55" s="11"/>
      <c r="O55" s="30"/>
    </row>
    <row r="56" spans="2:15" s="1" customFormat="1" ht="27" customHeight="1" x14ac:dyDescent="0.4">
      <c r="B56" s="41">
        <v>44265</v>
      </c>
      <c r="C56" s="40"/>
      <c r="D56" s="40">
        <v>25000</v>
      </c>
      <c r="E56" s="51">
        <v>35000</v>
      </c>
      <c r="F56" s="52"/>
      <c r="G56" s="51">
        <v>35000</v>
      </c>
      <c r="H56" s="52"/>
      <c r="I56" s="51">
        <v>120000</v>
      </c>
      <c r="J56" s="52"/>
      <c r="K56" s="65">
        <f t="shared" si="4"/>
        <v>215000</v>
      </c>
      <c r="L56" s="66"/>
      <c r="M56" s="11"/>
      <c r="O56" s="30"/>
    </row>
    <row r="57" spans="2:15" s="1" customFormat="1" ht="27" customHeight="1" x14ac:dyDescent="0.4">
      <c r="B57" s="41">
        <v>44266</v>
      </c>
      <c r="C57" s="40"/>
      <c r="D57" s="40">
        <v>25000</v>
      </c>
      <c r="E57" s="51">
        <v>35000</v>
      </c>
      <c r="F57" s="52"/>
      <c r="G57" s="51">
        <v>35000</v>
      </c>
      <c r="H57" s="52"/>
      <c r="I57" s="51">
        <v>120000</v>
      </c>
      <c r="J57" s="52"/>
      <c r="K57" s="65">
        <f t="shared" si="4"/>
        <v>215000</v>
      </c>
      <c r="L57" s="66"/>
      <c r="M57" s="11"/>
      <c r="O57" s="30"/>
    </row>
    <row r="58" spans="2:15" s="27" customFormat="1" ht="27.6" customHeight="1" x14ac:dyDescent="0.4">
      <c r="B58" s="41">
        <v>44267</v>
      </c>
      <c r="C58" s="36" t="s">
        <v>1229</v>
      </c>
      <c r="D58" s="25"/>
      <c r="E58" s="25"/>
      <c r="F58" s="25"/>
      <c r="G58" s="25"/>
      <c r="H58" s="25"/>
      <c r="I58" s="57"/>
      <c r="J58" s="58"/>
      <c r="K58" s="63">
        <f>SUM(K27:L57)</f>
        <v>6665000</v>
      </c>
      <c r="L58" s="64"/>
      <c r="M58" s="26"/>
      <c r="O58" s="31"/>
    </row>
    <row r="59" spans="2:15" s="1" customFormat="1" ht="6" hidden="1" customHeight="1" x14ac:dyDescent="0.4">
      <c r="B59" s="41">
        <v>44268</v>
      </c>
      <c r="M59" s="11"/>
      <c r="O59" s="30"/>
    </row>
    <row r="60" spans="2:15" s="1" customFormat="1" ht="7.2" customHeight="1" x14ac:dyDescent="0.3">
      <c r="B60" s="34"/>
      <c r="C60" s="49" t="s">
        <v>1229</v>
      </c>
      <c r="M60" s="11"/>
      <c r="O60" s="30"/>
    </row>
    <row r="61" spans="2:15" s="1" customFormat="1" ht="24" x14ac:dyDescent="0.3">
      <c r="B61" s="34"/>
      <c r="C61" s="53"/>
      <c r="D61" s="54"/>
      <c r="E61" s="54"/>
      <c r="F61" s="54"/>
      <c r="G61" s="54"/>
      <c r="H61" s="54"/>
      <c r="I61" s="54"/>
      <c r="J61" s="54"/>
      <c r="K61" s="54"/>
      <c r="L61" s="54"/>
      <c r="M61" s="11"/>
      <c r="O61" s="30"/>
    </row>
    <row r="62" spans="2:15" s="1" customFormat="1" ht="6.6" customHeight="1" x14ac:dyDescent="0.3">
      <c r="B62" s="34"/>
      <c r="L62" s="8"/>
      <c r="M62" s="11"/>
      <c r="O62" s="30"/>
    </row>
    <row r="63" spans="2:15" s="34" customFormat="1" ht="15" x14ac:dyDescent="0.25">
      <c r="C63" s="9" t="s">
        <v>1230</v>
      </c>
      <c r="I63" s="9" t="s">
        <v>1231</v>
      </c>
      <c r="M63" s="38"/>
    </row>
    <row r="64" spans="2:15" s="34" customFormat="1" ht="15" x14ac:dyDescent="0.25">
      <c r="M64" s="38"/>
    </row>
    <row r="65" spans="1:15" s="34" customFormat="1" ht="15" x14ac:dyDescent="0.25">
      <c r="M65" s="38"/>
    </row>
    <row r="66" spans="1:15" s="34" customFormat="1" ht="15" x14ac:dyDescent="0.25">
      <c r="M66" s="38"/>
    </row>
    <row r="67" spans="1:15" s="34" customFormat="1" ht="15" x14ac:dyDescent="0.25">
      <c r="C67" s="9" t="s">
        <v>1232</v>
      </c>
      <c r="M67" s="38"/>
    </row>
    <row r="68" spans="1:15" s="1" customFormat="1" x14ac:dyDescent="0.3">
      <c r="M68" s="11"/>
      <c r="O68" s="30"/>
    </row>
    <row r="69" spans="1:15" s="1" customFormat="1" ht="18" customHeight="1" x14ac:dyDescent="0.3">
      <c r="M69" s="11"/>
      <c r="O69" s="30"/>
    </row>
    <row r="70" spans="1:15" s="1" customFormat="1" ht="18" customHeight="1" x14ac:dyDescent="0.3">
      <c r="M70" s="11"/>
      <c r="O70" s="30"/>
    </row>
    <row r="71" spans="1:15" s="1" customFormat="1" ht="24.75" customHeight="1" x14ac:dyDescent="0.3">
      <c r="B71" s="37" t="s">
        <v>1226</v>
      </c>
      <c r="M71" s="11"/>
      <c r="O71" s="30"/>
    </row>
    <row r="72" spans="1:15" s="1" customFormat="1" ht="24.75" customHeight="1" x14ac:dyDescent="0.3">
      <c r="B72" s="50" t="s">
        <v>1227</v>
      </c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1"/>
      <c r="O72" s="30"/>
    </row>
    <row r="73" spans="1:15" s="1" customFormat="1" ht="6" customHeight="1" x14ac:dyDescent="0.3">
      <c r="B73" s="10"/>
      <c r="C73" s="10"/>
      <c r="D73" s="10"/>
      <c r="E73" s="10"/>
      <c r="F73" s="10"/>
      <c r="G73" s="10"/>
      <c r="H73" s="10"/>
      <c r="I73" s="10"/>
      <c r="J73" s="10"/>
      <c r="K73" s="10"/>
      <c r="M73" s="11"/>
      <c r="O73" s="30"/>
    </row>
    <row r="74" spans="1:15" s="1" customFormat="1" x14ac:dyDescent="0.3">
      <c r="B74" s="50" t="s">
        <v>1228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1"/>
      <c r="O74" s="30"/>
    </row>
    <row r="75" spans="1:15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</row>
    <row r="76" spans="1:15" x14ac:dyDescent="0.3"/>
    <row r="77" spans="1:15" x14ac:dyDescent="0.3"/>
    <row r="78" spans="1:15" x14ac:dyDescent="0.3"/>
    <row r="79" spans="1:15" x14ac:dyDescent="0.3"/>
    <row r="80" spans="1:15" x14ac:dyDescent="0.3"/>
    <row r="81" x14ac:dyDescent="0.3"/>
    <row r="82" x14ac:dyDescent="0.3"/>
    <row r="83" x14ac:dyDescent="0.3"/>
    <row r="84" x14ac:dyDescent="0.3"/>
    <row r="85" x14ac:dyDescent="0.3"/>
  </sheetData>
  <sheetProtection algorithmName="SHA-512" hashValue="JjKbwlCIL98eJHU79PvIOq7oHKpbpQrPdrmUUNewGMeGL1V1djoPBOoSXEmzk5t2rEJnM8JT9LUA8j2MKIPUQA==" saltValue="J2fQM/KGvDz2bDOlpYtfmg==" spinCount="100000" sheet="1" objects="1" scenarios="1"/>
  <protectedRanges>
    <protectedRange sqref="C9:H9 C11:H11 K9:L9 C13:D13 F13:G13 J13:L13 C15:D15 H15:L15 C17:D17 G17:L17 C19 C21 E19 E21 J19:L19 C61:L61 D58:L58 B27:L57" name="Plage1"/>
    <protectedRange sqref="N1:N32" name="Plage2"/>
  </protectedRanges>
  <dataConsolidate link="1"/>
  <mergeCells count="147">
    <mergeCell ref="K51:L51"/>
    <mergeCell ref="E56:F56"/>
    <mergeCell ref="G56:H56"/>
    <mergeCell ref="I56:J56"/>
    <mergeCell ref="E57:F57"/>
    <mergeCell ref="E46:F46"/>
    <mergeCell ref="G46:H46"/>
    <mergeCell ref="I46:J46"/>
    <mergeCell ref="K46:L46"/>
    <mergeCell ref="E48:F48"/>
    <mergeCell ref="G48:H48"/>
    <mergeCell ref="I48:J48"/>
    <mergeCell ref="K48:L48"/>
    <mergeCell ref="E49:F49"/>
    <mergeCell ref="G49:H49"/>
    <mergeCell ref="I49:J49"/>
    <mergeCell ref="K49:L49"/>
    <mergeCell ref="E52:F52"/>
    <mergeCell ref="G52:H52"/>
    <mergeCell ref="I52:J52"/>
    <mergeCell ref="K52:L52"/>
    <mergeCell ref="E50:F50"/>
    <mergeCell ref="G50:H50"/>
    <mergeCell ref="I50:J50"/>
    <mergeCell ref="K50:L50"/>
    <mergeCell ref="E45:F45"/>
    <mergeCell ref="G45:H45"/>
    <mergeCell ref="I45:J45"/>
    <mergeCell ref="E54:F54"/>
    <mergeCell ref="G54:H54"/>
    <mergeCell ref="I54:J54"/>
    <mergeCell ref="E55:F55"/>
    <mergeCell ref="G55:H55"/>
    <mergeCell ref="I55:J55"/>
    <mergeCell ref="E51:F51"/>
    <mergeCell ref="G51:H51"/>
    <mergeCell ref="I51:J51"/>
    <mergeCell ref="E44:F44"/>
    <mergeCell ref="G44:H44"/>
    <mergeCell ref="I44:J44"/>
    <mergeCell ref="E39:F39"/>
    <mergeCell ref="G39:H39"/>
    <mergeCell ref="I39:J39"/>
    <mergeCell ref="E42:F42"/>
    <mergeCell ref="G42:H42"/>
    <mergeCell ref="I42:J42"/>
    <mergeCell ref="G38:H38"/>
    <mergeCell ref="I38:J38"/>
    <mergeCell ref="E35:F35"/>
    <mergeCell ref="G35:H35"/>
    <mergeCell ref="I35:J35"/>
    <mergeCell ref="E36:F36"/>
    <mergeCell ref="G36:H36"/>
    <mergeCell ref="I36:J36"/>
    <mergeCell ref="E43:F43"/>
    <mergeCell ref="G43:H43"/>
    <mergeCell ref="I43:J43"/>
    <mergeCell ref="C5:L5"/>
    <mergeCell ref="K9:L9"/>
    <mergeCell ref="K11:L11"/>
    <mergeCell ref="C13:D13"/>
    <mergeCell ref="C15:D15"/>
    <mergeCell ref="H15:L15"/>
    <mergeCell ref="C17:D17"/>
    <mergeCell ref="G17:L17"/>
    <mergeCell ref="J19:L19"/>
    <mergeCell ref="C24:L24"/>
    <mergeCell ref="E26:F26"/>
    <mergeCell ref="G26:H26"/>
    <mergeCell ref="I26:J26"/>
    <mergeCell ref="K26:L26"/>
    <mergeCell ref="E27:F27"/>
    <mergeCell ref="G27:H27"/>
    <mergeCell ref="I27:J27"/>
    <mergeCell ref="K27:L27"/>
    <mergeCell ref="K28:L28"/>
    <mergeCell ref="E29:F29"/>
    <mergeCell ref="G29:H29"/>
    <mergeCell ref="I29:J29"/>
    <mergeCell ref="K29:L29"/>
    <mergeCell ref="E41:F41"/>
    <mergeCell ref="G41:H41"/>
    <mergeCell ref="I41:J41"/>
    <mergeCell ref="K41:L41"/>
    <mergeCell ref="K30:L30"/>
    <mergeCell ref="K31:L31"/>
    <mergeCell ref="K32:L32"/>
    <mergeCell ref="K33:L33"/>
    <mergeCell ref="K34:L34"/>
    <mergeCell ref="K40:L40"/>
    <mergeCell ref="G30:H30"/>
    <mergeCell ref="I32:J32"/>
    <mergeCell ref="I34:J34"/>
    <mergeCell ref="K35:L35"/>
    <mergeCell ref="K36:L36"/>
    <mergeCell ref="K37:L37"/>
    <mergeCell ref="K38:L38"/>
    <mergeCell ref="K39:L39"/>
    <mergeCell ref="E37:F37"/>
    <mergeCell ref="C9:H9"/>
    <mergeCell ref="I58:J58"/>
    <mergeCell ref="F13:G13"/>
    <mergeCell ref="J13:L13"/>
    <mergeCell ref="C11:H11"/>
    <mergeCell ref="K58:L58"/>
    <mergeCell ref="E53:F53"/>
    <mergeCell ref="G53:H53"/>
    <mergeCell ref="E40:F40"/>
    <mergeCell ref="I53:J53"/>
    <mergeCell ref="E47:F47"/>
    <mergeCell ref="G47:H47"/>
    <mergeCell ref="I47:J47"/>
    <mergeCell ref="K47:L47"/>
    <mergeCell ref="K53:L53"/>
    <mergeCell ref="K54:L54"/>
    <mergeCell ref="K55:L55"/>
    <mergeCell ref="K56:L56"/>
    <mergeCell ref="G57:H57"/>
    <mergeCell ref="I57:J57"/>
    <mergeCell ref="K57:L57"/>
    <mergeCell ref="E28:F28"/>
    <mergeCell ref="G28:H28"/>
    <mergeCell ref="I28:J28"/>
    <mergeCell ref="B72:L72"/>
    <mergeCell ref="B74:L74"/>
    <mergeCell ref="E30:F30"/>
    <mergeCell ref="E31:F31"/>
    <mergeCell ref="E32:F32"/>
    <mergeCell ref="E33:F33"/>
    <mergeCell ref="E34:F34"/>
    <mergeCell ref="I40:J40"/>
    <mergeCell ref="G31:H31"/>
    <mergeCell ref="G32:H32"/>
    <mergeCell ref="G33:H33"/>
    <mergeCell ref="G34:H34"/>
    <mergeCell ref="G40:H40"/>
    <mergeCell ref="I30:J30"/>
    <mergeCell ref="I31:J31"/>
    <mergeCell ref="I33:J33"/>
    <mergeCell ref="C61:L61"/>
    <mergeCell ref="K42:L42"/>
    <mergeCell ref="K43:L43"/>
    <mergeCell ref="K44:L44"/>
    <mergeCell ref="K45:L45"/>
    <mergeCell ref="G37:H37"/>
    <mergeCell ref="I37:J37"/>
    <mergeCell ref="E38:F38"/>
  </mergeCells>
  <phoneticPr fontId="1" type="noConversion"/>
  <printOptions horizontalCentered="1"/>
  <pageMargins left="0.39370078740157483" right="0.39370078740157483" top="0.39370078740157483" bottom="0.39370078740157483" header="0.39370078740157483" footer="0.35433070866141736"/>
  <pageSetup paperSize="9" scale="48" orientation="portrait" r:id="rId1"/>
  <drawing r:id="rId2"/>
  <legacyDrawing r:id="rId3"/>
  <controls>
    <mc:AlternateContent xmlns:mc="http://schemas.openxmlformats.org/markup-compatibility/2006">
      <mc:Choice Requires="x14">
        <control shapeId="1121" r:id="rId4" name="ComboBox1">
          <controlPr defaultSize="0" autoLine="0" autoPict="0" r:id="rId5">
            <anchor moveWithCells="1">
              <from>
                <xdr:col>2</xdr:col>
                <xdr:colOff>22860</xdr:colOff>
                <xdr:row>5</xdr:row>
                <xdr:rowOff>99060</xdr:rowOff>
              </from>
              <to>
                <xdr:col>7</xdr:col>
                <xdr:colOff>411480</xdr:colOff>
                <xdr:row>7</xdr:row>
                <xdr:rowOff>60960</xdr:rowOff>
              </to>
            </anchor>
          </controlPr>
        </control>
      </mc:Choice>
      <mc:Fallback>
        <control shapeId="1121" r:id="rId4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published="0" codeName="Feuil2"/>
  <dimension ref="A1:H40"/>
  <sheetViews>
    <sheetView workbookViewId="0">
      <pane ySplit="1" topLeftCell="A2" activePane="bottomLeft" state="frozen"/>
      <selection pane="bottomLeft" activeCell="E1" sqref="E1:E1048576"/>
    </sheetView>
  </sheetViews>
  <sheetFormatPr baseColWidth="10" defaultRowHeight="11.4" x14ac:dyDescent="0.2"/>
  <cols>
    <col min="1" max="1" width="9.625" bestFit="1" customWidth="1"/>
    <col min="2" max="2" width="20.375" bestFit="1" customWidth="1"/>
    <col min="3" max="3" width="14.75" bestFit="1" customWidth="1"/>
    <col min="4" max="6" width="14.25" style="21" customWidth="1"/>
    <col min="7" max="7" width="12.125" style="21" customWidth="1"/>
    <col min="8" max="8" width="12.75" customWidth="1"/>
  </cols>
  <sheetData>
    <row r="1" spans="1:8" s="48" customFormat="1" x14ac:dyDescent="0.2">
      <c r="A1" s="46" t="s">
        <v>1203</v>
      </c>
      <c r="B1" s="46" t="s">
        <v>1204</v>
      </c>
      <c r="C1" s="46" t="s">
        <v>1205</v>
      </c>
      <c r="D1" s="47" t="s">
        <v>19</v>
      </c>
      <c r="E1" s="47" t="s">
        <v>20</v>
      </c>
      <c r="F1" s="47" t="s">
        <v>21</v>
      </c>
      <c r="G1" s="47" t="s">
        <v>1206</v>
      </c>
      <c r="H1" s="47" t="s">
        <v>1233</v>
      </c>
    </row>
    <row r="2" spans="1:8" x14ac:dyDescent="0.2">
      <c r="A2" t="s">
        <v>154</v>
      </c>
      <c r="B2" t="s">
        <v>1207</v>
      </c>
      <c r="C2" t="s">
        <v>1208</v>
      </c>
      <c r="D2" s="21">
        <v>15000</v>
      </c>
      <c r="E2" s="21">
        <v>25000</v>
      </c>
      <c r="F2" s="21">
        <v>25000</v>
      </c>
      <c r="G2" s="21">
        <v>70000</v>
      </c>
    </row>
    <row r="3" spans="1:8" x14ac:dyDescent="0.2">
      <c r="A3" t="s">
        <v>121</v>
      </c>
      <c r="B3" t="s">
        <v>1207</v>
      </c>
      <c r="C3" t="s">
        <v>1208</v>
      </c>
      <c r="D3" s="21">
        <v>15000</v>
      </c>
      <c r="E3" s="21">
        <v>25000</v>
      </c>
      <c r="F3" s="21">
        <v>25000</v>
      </c>
      <c r="G3" s="21">
        <v>70000</v>
      </c>
    </row>
    <row r="4" spans="1:8" x14ac:dyDescent="0.2">
      <c r="A4" t="s">
        <v>134</v>
      </c>
      <c r="B4" t="s">
        <v>1207</v>
      </c>
      <c r="C4" t="s">
        <v>1208</v>
      </c>
      <c r="D4" s="21">
        <v>15000</v>
      </c>
      <c r="E4" s="21">
        <v>25000</v>
      </c>
      <c r="F4" s="21">
        <v>25000</v>
      </c>
      <c r="G4" s="21">
        <v>70000</v>
      </c>
    </row>
    <row r="5" spans="1:8" x14ac:dyDescent="0.2">
      <c r="A5" t="s">
        <v>148</v>
      </c>
      <c r="B5" t="s">
        <v>1207</v>
      </c>
      <c r="C5" t="s">
        <v>1208</v>
      </c>
      <c r="D5" s="21">
        <v>15000</v>
      </c>
      <c r="E5" s="21">
        <v>25000</v>
      </c>
      <c r="F5" s="21">
        <v>25000</v>
      </c>
      <c r="G5" s="21">
        <v>70000</v>
      </c>
    </row>
    <row r="6" spans="1:8" x14ac:dyDescent="0.2">
      <c r="A6" t="s">
        <v>128</v>
      </c>
      <c r="B6" t="s">
        <v>1207</v>
      </c>
      <c r="C6" t="s">
        <v>1208</v>
      </c>
      <c r="D6" s="21">
        <v>15000</v>
      </c>
      <c r="E6" s="21">
        <v>25000</v>
      </c>
      <c r="F6" s="21">
        <v>25000</v>
      </c>
      <c r="G6" s="21">
        <v>70000</v>
      </c>
    </row>
    <row r="7" spans="1:8" x14ac:dyDescent="0.2">
      <c r="A7" t="s">
        <v>140</v>
      </c>
      <c r="B7" t="s">
        <v>1207</v>
      </c>
      <c r="C7" t="s">
        <v>1208</v>
      </c>
      <c r="D7" s="21">
        <v>15000</v>
      </c>
      <c r="E7" s="21">
        <v>25000</v>
      </c>
      <c r="F7" s="21">
        <v>25000</v>
      </c>
      <c r="G7" s="21">
        <v>70000</v>
      </c>
    </row>
    <row r="8" spans="1:8" x14ac:dyDescent="0.2">
      <c r="A8" t="s">
        <v>69</v>
      </c>
      <c r="B8" t="s">
        <v>1207</v>
      </c>
      <c r="C8" t="s">
        <v>1208</v>
      </c>
      <c r="D8" s="21">
        <v>26000</v>
      </c>
      <c r="E8" s="21">
        <v>35000</v>
      </c>
      <c r="F8" s="21">
        <v>35000</v>
      </c>
      <c r="G8" s="21">
        <v>90000</v>
      </c>
    </row>
    <row r="9" spans="1:8" x14ac:dyDescent="0.2">
      <c r="A9" t="s">
        <v>108</v>
      </c>
      <c r="B9" t="s">
        <v>1207</v>
      </c>
      <c r="C9" t="s">
        <v>1208</v>
      </c>
      <c r="D9" s="21">
        <v>26000</v>
      </c>
      <c r="E9" s="21">
        <v>35000</v>
      </c>
      <c r="F9" s="21">
        <v>35000</v>
      </c>
      <c r="G9" s="21">
        <v>90000</v>
      </c>
    </row>
    <row r="10" spans="1:8" x14ac:dyDescent="0.2">
      <c r="A10" t="s">
        <v>53</v>
      </c>
      <c r="B10" t="s">
        <v>1207</v>
      </c>
      <c r="C10" t="s">
        <v>1208</v>
      </c>
      <c r="D10" s="21">
        <v>26000</v>
      </c>
      <c r="E10" s="21">
        <v>35000</v>
      </c>
      <c r="F10" s="21">
        <v>35000</v>
      </c>
      <c r="G10" s="21">
        <v>90000</v>
      </c>
    </row>
    <row r="11" spans="1:8" x14ac:dyDescent="0.2">
      <c r="A11" t="s">
        <v>61</v>
      </c>
      <c r="B11" t="s">
        <v>1207</v>
      </c>
      <c r="C11" t="s">
        <v>1208</v>
      </c>
      <c r="D11" s="21">
        <v>26000</v>
      </c>
      <c r="E11" s="21">
        <v>35000</v>
      </c>
      <c r="F11" s="21">
        <v>35000</v>
      </c>
      <c r="G11" s="21">
        <v>90000</v>
      </c>
    </row>
    <row r="12" spans="1:8" x14ac:dyDescent="0.2">
      <c r="A12" t="s">
        <v>78</v>
      </c>
      <c r="B12" t="s">
        <v>1207</v>
      </c>
      <c r="C12" t="s">
        <v>1208</v>
      </c>
      <c r="D12" s="21">
        <v>26000</v>
      </c>
      <c r="E12" s="21">
        <v>35000</v>
      </c>
      <c r="F12" s="21">
        <v>35000</v>
      </c>
      <c r="G12" s="21">
        <v>90000</v>
      </c>
    </row>
    <row r="13" spans="1:8" x14ac:dyDescent="0.2">
      <c r="A13" t="s">
        <v>579</v>
      </c>
      <c r="B13" t="s">
        <v>1207</v>
      </c>
      <c r="C13" t="s">
        <v>1208</v>
      </c>
      <c r="D13" s="21">
        <v>26000</v>
      </c>
      <c r="E13" s="21">
        <v>35000</v>
      </c>
      <c r="F13" s="21">
        <v>35000</v>
      </c>
      <c r="G13" s="21">
        <v>90000</v>
      </c>
    </row>
    <row r="14" spans="1:8" x14ac:dyDescent="0.2">
      <c r="A14" t="s">
        <v>650</v>
      </c>
      <c r="B14" t="s">
        <v>1207</v>
      </c>
      <c r="C14" t="s">
        <v>1208</v>
      </c>
    </row>
    <row r="15" spans="1:8" x14ac:dyDescent="0.2">
      <c r="A15" t="s">
        <v>154</v>
      </c>
      <c r="B15" t="s">
        <v>1209</v>
      </c>
      <c r="C15" t="s">
        <v>1208</v>
      </c>
      <c r="D15" s="21">
        <v>15000</v>
      </c>
      <c r="E15" s="21">
        <v>25000</v>
      </c>
      <c r="F15" s="21">
        <v>25000</v>
      </c>
      <c r="G15" s="21">
        <v>70000</v>
      </c>
    </row>
    <row r="16" spans="1:8" x14ac:dyDescent="0.2">
      <c r="A16" t="s">
        <v>121</v>
      </c>
      <c r="B16" t="s">
        <v>1209</v>
      </c>
      <c r="C16" t="s">
        <v>1208</v>
      </c>
      <c r="D16" s="21">
        <v>15000</v>
      </c>
      <c r="E16" s="21">
        <v>25000</v>
      </c>
      <c r="F16" s="21">
        <v>25000</v>
      </c>
      <c r="G16" s="21">
        <v>70000</v>
      </c>
    </row>
    <row r="17" spans="1:7" x14ac:dyDescent="0.2">
      <c r="A17" t="s">
        <v>134</v>
      </c>
      <c r="B17" t="s">
        <v>1209</v>
      </c>
      <c r="C17" t="s">
        <v>1208</v>
      </c>
      <c r="D17" s="21">
        <v>15000</v>
      </c>
      <c r="E17" s="21">
        <v>25000</v>
      </c>
      <c r="F17" s="21">
        <v>25000</v>
      </c>
      <c r="G17" s="21">
        <v>70000</v>
      </c>
    </row>
    <row r="18" spans="1:7" x14ac:dyDescent="0.2">
      <c r="A18" t="s">
        <v>148</v>
      </c>
      <c r="B18" t="s">
        <v>1209</v>
      </c>
      <c r="C18" t="s">
        <v>1208</v>
      </c>
      <c r="D18" s="21">
        <v>15000</v>
      </c>
      <c r="E18" s="21">
        <v>25000</v>
      </c>
      <c r="F18" s="21">
        <v>25000</v>
      </c>
      <c r="G18" s="21">
        <v>70000</v>
      </c>
    </row>
    <row r="19" spans="1:7" x14ac:dyDescent="0.2">
      <c r="A19" t="s">
        <v>128</v>
      </c>
      <c r="B19" t="s">
        <v>1209</v>
      </c>
      <c r="C19" t="s">
        <v>1208</v>
      </c>
      <c r="D19" s="21">
        <v>15000</v>
      </c>
      <c r="E19" s="21">
        <v>25000</v>
      </c>
      <c r="F19" s="21">
        <v>25000</v>
      </c>
      <c r="G19" s="21">
        <v>70000</v>
      </c>
    </row>
    <row r="20" spans="1:7" x14ac:dyDescent="0.2">
      <c r="A20" t="s">
        <v>140</v>
      </c>
      <c r="B20" t="s">
        <v>1209</v>
      </c>
      <c r="C20" t="s">
        <v>1208</v>
      </c>
      <c r="D20" s="21">
        <v>15000</v>
      </c>
      <c r="E20" s="21">
        <v>25000</v>
      </c>
      <c r="F20" s="21">
        <v>25000</v>
      </c>
      <c r="G20" s="21">
        <v>70000</v>
      </c>
    </row>
    <row r="21" spans="1:7" x14ac:dyDescent="0.2">
      <c r="A21" t="s">
        <v>69</v>
      </c>
      <c r="B21" t="s">
        <v>1209</v>
      </c>
      <c r="C21" t="s">
        <v>1208</v>
      </c>
      <c r="D21" s="21">
        <v>26000</v>
      </c>
      <c r="E21" s="21">
        <v>35000</v>
      </c>
      <c r="F21" s="21">
        <v>35000</v>
      </c>
      <c r="G21" s="21">
        <v>90000</v>
      </c>
    </row>
    <row r="22" spans="1:7" x14ac:dyDescent="0.2">
      <c r="A22" t="s">
        <v>108</v>
      </c>
      <c r="B22" t="s">
        <v>1209</v>
      </c>
      <c r="C22" t="s">
        <v>1208</v>
      </c>
      <c r="D22" s="21">
        <v>26000</v>
      </c>
      <c r="E22" s="21">
        <v>35000</v>
      </c>
      <c r="F22" s="21">
        <v>35000</v>
      </c>
      <c r="G22" s="21">
        <v>90000</v>
      </c>
    </row>
    <row r="23" spans="1:7" x14ac:dyDescent="0.2">
      <c r="A23" t="s">
        <v>53</v>
      </c>
      <c r="B23" t="s">
        <v>1209</v>
      </c>
      <c r="C23" t="s">
        <v>1208</v>
      </c>
      <c r="D23" s="21">
        <v>26000</v>
      </c>
      <c r="E23" s="21">
        <v>35000</v>
      </c>
      <c r="F23" s="21">
        <v>35000</v>
      </c>
      <c r="G23" s="21">
        <v>90000</v>
      </c>
    </row>
    <row r="24" spans="1:7" x14ac:dyDescent="0.2">
      <c r="A24" t="s">
        <v>61</v>
      </c>
      <c r="B24" t="s">
        <v>1209</v>
      </c>
      <c r="C24" t="s">
        <v>1208</v>
      </c>
      <c r="D24" s="21">
        <v>26000</v>
      </c>
      <c r="E24" s="21">
        <v>35000</v>
      </c>
      <c r="F24" s="21">
        <v>35000</v>
      </c>
      <c r="G24" s="21">
        <v>90000</v>
      </c>
    </row>
    <row r="25" spans="1:7" x14ac:dyDescent="0.2">
      <c r="A25" t="s">
        <v>78</v>
      </c>
      <c r="B25" t="s">
        <v>1209</v>
      </c>
      <c r="C25" t="s">
        <v>1208</v>
      </c>
      <c r="D25" s="21">
        <v>26000</v>
      </c>
      <c r="E25" s="21">
        <v>35000</v>
      </c>
      <c r="F25" s="21">
        <v>35000</v>
      </c>
      <c r="G25" s="21">
        <v>90000</v>
      </c>
    </row>
    <row r="26" spans="1:7" x14ac:dyDescent="0.2">
      <c r="A26" t="s">
        <v>579</v>
      </c>
      <c r="B26" t="s">
        <v>1209</v>
      </c>
      <c r="C26" t="s">
        <v>1208</v>
      </c>
      <c r="D26" s="21">
        <v>26000</v>
      </c>
      <c r="E26" s="21">
        <v>35000</v>
      </c>
      <c r="F26" s="21">
        <v>35000</v>
      </c>
      <c r="G26" s="21">
        <v>90000</v>
      </c>
    </row>
    <row r="27" spans="1:7" x14ac:dyDescent="0.2">
      <c r="A27" t="s">
        <v>650</v>
      </c>
      <c r="B27" t="s">
        <v>1209</v>
      </c>
      <c r="C27" t="s">
        <v>1208</v>
      </c>
    </row>
    <row r="28" spans="1:7" x14ac:dyDescent="0.2">
      <c r="A28" t="s">
        <v>154</v>
      </c>
      <c r="C28" t="s">
        <v>1210</v>
      </c>
      <c r="D28" s="21">
        <v>15</v>
      </c>
      <c r="E28" s="21">
        <v>20</v>
      </c>
      <c r="F28" s="21">
        <v>25</v>
      </c>
    </row>
    <row r="29" spans="1:7" x14ac:dyDescent="0.2">
      <c r="A29" t="s">
        <v>121</v>
      </c>
      <c r="C29" t="s">
        <v>1210</v>
      </c>
      <c r="D29" s="21">
        <v>15</v>
      </c>
      <c r="E29" s="21">
        <v>20</v>
      </c>
      <c r="F29" s="21">
        <v>25</v>
      </c>
    </row>
    <row r="30" spans="1:7" x14ac:dyDescent="0.2">
      <c r="A30" t="s">
        <v>134</v>
      </c>
      <c r="C30" t="s">
        <v>1210</v>
      </c>
      <c r="D30" s="21">
        <v>15</v>
      </c>
      <c r="E30" s="21">
        <v>20</v>
      </c>
      <c r="F30" s="21">
        <v>25</v>
      </c>
    </row>
    <row r="31" spans="1:7" x14ac:dyDescent="0.2">
      <c r="A31" t="s">
        <v>148</v>
      </c>
      <c r="C31" t="s">
        <v>1210</v>
      </c>
      <c r="D31" s="21">
        <v>15</v>
      </c>
      <c r="E31" s="21">
        <v>20</v>
      </c>
      <c r="F31" s="21">
        <v>25</v>
      </c>
    </row>
    <row r="32" spans="1:7" x14ac:dyDescent="0.2">
      <c r="A32" t="s">
        <v>128</v>
      </c>
      <c r="C32" t="s">
        <v>1210</v>
      </c>
      <c r="D32" s="21">
        <v>15</v>
      </c>
      <c r="E32" s="21">
        <v>20</v>
      </c>
      <c r="F32" s="21">
        <v>25</v>
      </c>
    </row>
    <row r="33" spans="1:6" x14ac:dyDescent="0.2">
      <c r="A33" t="s">
        <v>140</v>
      </c>
      <c r="C33" t="s">
        <v>1210</v>
      </c>
      <c r="D33" s="21">
        <v>15</v>
      </c>
      <c r="E33" s="21">
        <v>20</v>
      </c>
      <c r="F33" s="21">
        <v>25</v>
      </c>
    </row>
    <row r="34" spans="1:6" x14ac:dyDescent="0.2">
      <c r="A34" t="s">
        <v>69</v>
      </c>
      <c r="C34" t="s">
        <v>1210</v>
      </c>
      <c r="D34" s="21">
        <v>15</v>
      </c>
      <c r="E34" s="21">
        <v>20</v>
      </c>
      <c r="F34" s="21">
        <v>25</v>
      </c>
    </row>
    <row r="35" spans="1:6" x14ac:dyDescent="0.2">
      <c r="A35" t="s">
        <v>108</v>
      </c>
      <c r="C35" t="s">
        <v>1210</v>
      </c>
      <c r="D35" s="21">
        <v>15</v>
      </c>
      <c r="E35" s="21">
        <v>20</v>
      </c>
      <c r="F35" s="21">
        <v>25</v>
      </c>
    </row>
    <row r="36" spans="1:6" x14ac:dyDescent="0.2">
      <c r="A36" t="s">
        <v>53</v>
      </c>
      <c r="C36" t="s">
        <v>1210</v>
      </c>
      <c r="D36" s="21">
        <v>15</v>
      </c>
      <c r="E36" s="21">
        <v>20</v>
      </c>
      <c r="F36" s="21">
        <v>25</v>
      </c>
    </row>
    <row r="37" spans="1:6" x14ac:dyDescent="0.2">
      <c r="A37" t="s">
        <v>61</v>
      </c>
      <c r="C37" t="s">
        <v>1210</v>
      </c>
      <c r="D37" s="21">
        <v>15</v>
      </c>
      <c r="E37" s="21">
        <v>20</v>
      </c>
      <c r="F37" s="21">
        <v>25</v>
      </c>
    </row>
    <row r="38" spans="1:6" x14ac:dyDescent="0.2">
      <c r="A38" t="s">
        <v>78</v>
      </c>
      <c r="C38" t="s">
        <v>1210</v>
      </c>
      <c r="D38" s="21">
        <v>15</v>
      </c>
      <c r="E38" s="21">
        <v>20</v>
      </c>
      <c r="F38" s="21">
        <v>25</v>
      </c>
    </row>
    <row r="39" spans="1:6" x14ac:dyDescent="0.2">
      <c r="A39" t="s">
        <v>579</v>
      </c>
      <c r="C39" t="s">
        <v>1210</v>
      </c>
      <c r="D39" s="21">
        <v>15</v>
      </c>
      <c r="E39" s="21">
        <v>20</v>
      </c>
      <c r="F39" s="21">
        <v>25</v>
      </c>
    </row>
    <row r="40" spans="1:6" x14ac:dyDescent="0.2">
      <c r="A40" t="s">
        <v>650</v>
      </c>
      <c r="C40" t="s">
        <v>1210</v>
      </c>
      <c r="D40" s="21">
        <v>15</v>
      </c>
      <c r="E40" s="21">
        <v>20</v>
      </c>
      <c r="F40" s="21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published="0" codeName="Feuil4"/>
  <dimension ref="A1:P1"/>
  <sheetViews>
    <sheetView topLeftCell="B1" workbookViewId="0">
      <pane ySplit="1" topLeftCell="A5" activePane="bottomLeft" state="frozen"/>
      <selection pane="bottomLeft" activeCell="O16" sqref="O16"/>
    </sheetView>
  </sheetViews>
  <sheetFormatPr baseColWidth="10" defaultRowHeight="11.4" x14ac:dyDescent="0.2"/>
  <cols>
    <col min="1" max="1" width="48.625" customWidth="1"/>
    <col min="2" max="5" width="8.375" customWidth="1"/>
    <col min="6" max="6" width="9.375" customWidth="1"/>
    <col min="7" max="16" width="8.375" customWidth="1"/>
  </cols>
  <sheetData>
    <row r="1" spans="1:16" s="29" customFormat="1" ht="24.75" customHeight="1" x14ac:dyDescent="0.2">
      <c r="A1" s="28" t="s">
        <v>1212</v>
      </c>
      <c r="B1" s="28" t="s">
        <v>1213</v>
      </c>
      <c r="C1" s="28" t="s">
        <v>1198</v>
      </c>
      <c r="D1" s="28" t="s">
        <v>1214</v>
      </c>
      <c r="E1" s="28" t="s">
        <v>1215</v>
      </c>
      <c r="F1" s="28" t="s">
        <v>1216</v>
      </c>
      <c r="G1" s="28" t="s">
        <v>1200</v>
      </c>
      <c r="H1" s="28" t="s">
        <v>1217</v>
      </c>
      <c r="I1" s="28" t="s">
        <v>1218</v>
      </c>
      <c r="J1" s="28" t="s">
        <v>1219</v>
      </c>
      <c r="K1" s="28" t="s">
        <v>1220</v>
      </c>
      <c r="L1" s="28" t="s">
        <v>1221</v>
      </c>
      <c r="M1" s="28" t="s">
        <v>1222</v>
      </c>
      <c r="N1" s="28" t="s">
        <v>1223</v>
      </c>
      <c r="O1" s="28" t="s">
        <v>1224</v>
      </c>
      <c r="P1" s="28" t="s">
        <v>1225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F4192CF0FB6A4198FB8114B8375021" ma:contentTypeVersion="8" ma:contentTypeDescription="Crée un document." ma:contentTypeScope="" ma:versionID="5d030bc4fe68b944513917f83a00cae7">
  <xsd:schema xmlns:xsd="http://www.w3.org/2001/XMLSchema" xmlns:xs="http://www.w3.org/2001/XMLSchema" xmlns:p="http://schemas.microsoft.com/office/2006/metadata/properties" xmlns:ns3="a2ad0cca-519b-48c8-9240-f2bc11e33212" targetNamespace="http://schemas.microsoft.com/office/2006/metadata/properties" ma:root="true" ma:fieldsID="6c1deb96d1b6b86cb81436f94e0b6db7" ns3:_="">
    <xsd:import namespace="a2ad0cca-519b-48c8-9240-f2bc11e3321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ad0cca-519b-48c8-9240-f2bc11e332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B89091-F6E8-4ACA-A3B1-AA3C2260BA38}">
  <ds:schemaRefs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http://purl.org/dc/elements/1.1/"/>
    <ds:schemaRef ds:uri="a2ad0cca-519b-48c8-9240-f2bc11e33212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686185-D06E-408B-84CA-3BA2F9AF8E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ad0cca-519b-48c8-9240-f2bc11e332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54BAD97-1AF7-41BD-89BD-2FAF07B77AE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FORMULAIRE</vt:lpstr>
      <vt:lpstr>GRILLE MISSION</vt:lpstr>
      <vt:lpstr>FORMULAIRE!Zone_d_impression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BOLZINGER Jeanne</dc:creator>
  <cp:lastModifiedBy>Herinomenjanaharilala Sedera RASOLOFONDRAMANAMBE (DRH)</cp:lastModifiedBy>
  <cp:lastPrinted>2025-02-25T06:08:05Z</cp:lastPrinted>
  <dcterms:created xsi:type="dcterms:W3CDTF">2011-07-08T12:31:01Z</dcterms:created>
  <dcterms:modified xsi:type="dcterms:W3CDTF">2025-07-08T15:45:54Z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0x0101005FF4192CF0FB6A4198FB8114B8375021</vt:lpwstr>
  </property>
</Properties>
</file>